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Operational Impact" sheetId="2" state="visible" r:id="rId4"/>
    <sheet name="Service Desk Brief" sheetId="3" state="visible" r:id="rId5"/>
    <sheet name="Policy Mapping" sheetId="4" state="visible" r:id="rId6"/>
    <sheet name="Control Coverage" sheetId="5" state="visible" r:id="rId7"/>
    <sheet name="Policy x Control" sheetId="6" state="visible" r:id="rId8"/>
    <sheet name="Unmapped Gap" sheetId="7" state="visible" r:id="rId9"/>
    <sheet name="Read Me" sheetId="8" state="visible" r:id="rId10"/>
  </sheets>
  <definedNames>
    <definedName function="false" hidden="false" localSheetId="4" name="_xlnm.Print_Titles" vbProcedure="false">'Control Coverage'!$1:$1</definedName>
    <definedName function="false" hidden="true" localSheetId="4" name="_xlnm._FilterDatabase" vbProcedure="false">'Control Coverage'!$A$1:$D$48</definedName>
    <definedName function="false" hidden="false" localSheetId="1" name="_xlnm.Print_Titles" vbProcedure="false">'Operational Impact'!$4:$4</definedName>
    <definedName function="false" hidden="true" localSheetId="1" name="_xlnm._FilterDatabase" vbProcedure="false">'Operational Impact'!$A$4:$K$33</definedName>
    <definedName function="false" hidden="false" localSheetId="3" name="_xlnm.Print_Titles" vbProcedure="false">'Policy Mapping'!$1:$1</definedName>
    <definedName function="false" hidden="true" localSheetId="3" name="_xlnm._FilterDatabase" vbProcedure="false">'Policy Mapping'!$A$1:$P$223</definedName>
    <definedName function="false" hidden="false" localSheetId="5" name="_xlnm.Print_Titles" vbProcedure="false">'Policy x Control'!$1:$1</definedName>
    <definedName function="false" hidden="true" localSheetId="5" name="_xlnm._FilterDatabase" vbProcedure="false">'Policy x Control'!$A$1:$H$576</definedName>
    <definedName function="false" hidden="false" localSheetId="2" name="_xlnm.Print_Titles" vbProcedure="false">'Service Desk Brief'!$4:$4</definedName>
    <definedName function="false" hidden="true" localSheetId="2" name="_xlnm._FilterDatabase" vbProcedure="false">'Service Desk Brief'!$A$4:$F$33</definedName>
    <definedName function="false" hidden="false" localSheetId="6" name="_xlnm.Print_Titles" vbProcedure="false">'Unmapped Gap'!$6:$6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Severity is an assessment for this client profile (CAD + dev + office, 200+ endpoints), not a value from the source workbook. 'Configured as' and 'What actually breaks' are verified from the policy JSON and Microsoft documentation.</t>
        </r>
      </text>
    </comment>
    <comment ref="F4" authorId="0">
      <text>
        <r>
          <rPr>
            <sz val="10"/>
            <rFont val="Arial"/>
            <family val="2"/>
          </rPr>
          <t xml:space="preserve">These are the same symptoms listed on the Service Desk Brief tab. Both tabs are generated from one dataset so they stay in sync.</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Copied verbatim from CIS_Compliance_Baseline_v2.xlsx. Blank means the workbook records no control for this policy — nothing was inferred.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6" authorId="0">
      <text>
        <r>
          <rPr>
            <sz val="10"/>
            <rFont val="Arial"/>
            <family val="2"/>
          </rPr>
          <t xml:space="preserve">Yellow cells are for you to complete. Left deliberately empty — filling them with plausible-looking controls would manufacture audit evidence.</t>
        </r>
      </text>
    </comment>
  </commentList>
</comments>
</file>

<file path=xl/sharedStrings.xml><?xml version="1.0" encoding="utf-8"?>
<sst xmlns="http://schemas.openxmlformats.org/spreadsheetml/2006/main" count="8205" uniqueCount="1040">
  <si>
    <t xml:space="preserve">Intune Baseline — Policy to Security Framework Mapping</t>
  </si>
  <si>
    <t xml:space="preserve">Source: CIS_Compliance_Baseline_v2.xlsx (‘Compliance Baseline’ sheet), cross-referenced against the 222 policy files in source-pack/</t>
  </si>
  <si>
    <t xml:space="preserve">Every NIST / ISO value is copied verbatim from the workbook. Nothing is inferred: where the workbook has no data, the cells are left blank and the policy is marked UNMAPPED.</t>
  </si>
  <si>
    <t xml:space="preserve">COVERAGE</t>
  </si>
  <si>
    <t xml:space="preserve">Policies in the pack</t>
  </si>
  <si>
    <t xml:space="preserve">One row per policy file.</t>
  </si>
  <si>
    <t xml:space="preserve">Mapped to a framework</t>
  </si>
  <si>
    <t xml:space="preserve">Has a workbook row with NIST / ISO values.</t>
  </si>
  <si>
    <t xml:space="preserve">Unmapped</t>
  </si>
  <si>
    <t xml:space="preserve">Workbook row is numbered but blank.</t>
  </si>
  <si>
    <t xml:space="preserve">Coverage %</t>
  </si>
  <si>
    <t xml:space="preserve">Mapped as a share of all policies.</t>
  </si>
  <si>
    <t xml:space="preserve">Distinct NIST controls</t>
  </si>
  <si>
    <t xml:space="preserve">Rev 5 controls cited at least once.</t>
  </si>
  <si>
    <t xml:space="preserve">Distinct ISO clauses</t>
  </si>
  <si>
    <t xml:space="preserve">27001:2022 Annex A clauses cited.</t>
  </si>
  <si>
    <t xml:space="preserve">HOW EACH MAPPING WAS MATCHED</t>
  </si>
  <si>
    <t xml:space="preserve">Every mapping is traceable. ‘match_method’ on the Policy Mapping tab records how the workbook row was tied to the policy file, so any row can be spot-checked.</t>
  </si>
  <si>
    <t xml:space="preserve">Match method</t>
  </si>
  <si>
    <t xml:space="preserve">Policies</t>
  </si>
  <si>
    <t xml:space="preserve">What it means</t>
  </si>
  <si>
    <t xml:space="preserve">exact</t>
  </si>
  <si>
    <t xml:space="preserve">Workbook policy name equals the filename, character for character.</t>
  </si>
  <si>
    <t xml:space="preserve">punctuation</t>
  </si>
  <si>
    <t xml:space="preserve">Matched after normalising punctuation, .mobileconfig, export timestamps, or a mangled curly apostrophe (#U2019).</t>
  </si>
  <si>
    <t xml:space="preserve">whitespace</t>
  </si>
  <si>
    <t xml:space="preserve">Matched after collapsing double spaces and trimming.</t>
  </si>
  <si>
    <t xml:space="preserve">prefix</t>
  </si>
  <si>
    <t xml:space="preserve">Matched after normalising a differing rule-name prefix, e.g. workbook “ASR - BLOCK - Block X” vs file “CISv4 - WIN - L1 - ASR: Block X”.</t>
  </si>
  <si>
    <t xml:space="preserve">unmapped</t>
  </si>
  <si>
    <t xml:space="preserve">No workbook row exists for this policy — the row is numbered but entirely blank.</t>
  </si>
  <si>
    <t xml:space="preserve">KNOWN ISSUES IN THE SOURCE WORKBOOK</t>
  </si>
  <si>
    <t xml:space="preserve">•  24 rows are numbered but completely blank — the workbook presents itself as 222 policies but documents 198. These cannot be mapped from anything in the pack; the workbook has to be filled in. See the ‘Unmapped Gap’ tab.</t>
  </si>
  <si>
    <t xml:space="preserve">•  15 rows record a literal “-” instead of a control. All are Edge CIS items, mostly browser-UX controls with no clean framework analogue. They appear as “(none recorded)” on the Policy x Control tab.</t>
  </si>
  <si>
    <t xml:space="preserve">•  One level disagreement: “Configure the list of types that are excluded from synchronization” is L2 in the workbook but L1 in the filename. This workbook reports the workbook’s value (L2).</t>
  </si>
  <si>
    <t xml:space="preserve">•  34 policies were only matched after normalising naming drift between the workbook and the exported filenames (double spaces, prefixes, punctuation). Their mappings are the workbook’s own — see match_method.</t>
  </si>
  <si>
    <t xml:space="preserve">Operational impact — effect on operations and end-user experience</t>
  </si>
  <si>
    <t xml:space="preserve">Scoped to a typical client profile: CAD engineers, a small dev team, majority general office staff, 200+ endpoints. Every row states what this pack ACTUALLY configures, what the user experiences, and how the service desk should handle it. The Service Desk Brief tab is the same information filtered to the handover sheet — both tabs are generated from one source, so they cannot drift apart.</t>
  </si>
  <si>
    <t xml:space="preserve">Policy</t>
  </si>
  <si>
    <t xml:space="preserve">Configured as</t>
  </si>
  <si>
    <t xml:space="preserve">Who it hits</t>
  </si>
  <si>
    <t xml:space="preserve">Assessed severity</t>
  </si>
  <si>
    <t xml:space="preserve">What actually breaks</t>
  </si>
  <si>
    <t xml:space="preserve">What the user reports</t>
  </si>
  <si>
    <t xml:space="preserve">Service desk handling</t>
  </si>
  <si>
    <t xml:space="preserve">What the service desk should do</t>
  </si>
  <si>
    <t xml:space="preserve">When it bites</t>
  </si>
  <si>
    <t xml:space="preserve">Mitigation</t>
  </si>
  <si>
    <t xml:space="preserve">Evidence / provenance</t>
  </si>
  <si>
    <t xml:space="preserve">CISv3 - EDGE - L2 - Allow file selection dialogs</t>
  </si>
  <si>
    <t xml:space="preserve">AllowFileSelectionDialogs = 0 (blocked)</t>
  </si>
  <si>
    <t xml:space="preserve">All users · Office</t>
  </si>
  <si>
    <t xml:space="preserve">HIGH</t>
  </si>
  <si>
    <t xml:space="preserve">File selection dialogs are blocked in Edge. Users cannot browse to pick a file — no attaching to webmail, no uploading a drawing to a client portal, no 'Upload' in SharePoint/Teams web, no attaching to a support ticket. Save-as dialogs are affected too.</t>
  </si>
  <si>
    <t xml:space="preserve">“I can't attach a file / the Upload button does nothing”</t>
  </si>
  <si>
    <t xml:space="preserve">Expected</t>
  </si>
  <si>
    <t xml:space="preserve">Not a fault and there is no client-side fix. Escalate — this is an L2 scoping decision.</t>
  </si>
  <si>
    <t xml:space="preserve">First time anyone tries to upload or attach anything in the browser. Immediate and constant.</t>
  </si>
  <si>
    <t xml:space="preserve">This is an L2 control. For an office-heavy fleet, scope the Edge L2 set out entirely or exclude this single policy. Test the customer's actual web apps — portals, ticketing, cloud CAD — first.</t>
  </si>
  <si>
    <t xml:space="preserve">Setting verified + Microsoft Edge policy docs</t>
  </si>
  <si>
    <t xml:space="preserve">CISv3 - EDGE - L2 - Allow or block audio capture</t>
  </si>
  <si>
    <t xml:space="preserve">AudioCaptureAllowed = 0 (microphone blocked)</t>
  </si>
  <si>
    <t xml:space="preserve">All users</t>
  </si>
  <si>
    <t xml:space="preserve">Websites cannot access the microphone. Browser-based Teams, Zoom, Google Meet and Webex calls have no audio. Web dictation and voice tools stop working.</t>
  </si>
  <si>
    <t xml:space="preserve">“I have no microphone in the Teams/Zoom web app”</t>
  </si>
  <si>
    <t xml:space="preserve">Move the user to the desktop client. Escalate if browser calls are a business requirement.</t>
  </si>
  <si>
    <t xml:space="preserve">First browser-based call after apply.</t>
  </si>
  <si>
    <t xml:space="preserve">Survivable if the customer uses desktop clients exclusively; not if anyone joins calls in a browser (guests, contractors, BYOD). Confirm before deploying. L2 — scope out with the rest if unsure.</t>
  </si>
  <si>
    <t xml:space="preserve">CISv3 - EDGE - L2 - Allow or deny screen capture</t>
  </si>
  <si>
    <t xml:space="preserve">ScreenCaptureAllowed = 0 (blocked)</t>
  </si>
  <si>
    <t xml:space="preserve">All users · Service desk</t>
  </si>
  <si>
    <t xml:space="preserve">Sites cannot capture the screen. Screen sharing in browser-based Teams/Zoom/Meet fails, and browser-delivered remote support tools cannot show or take the screen.</t>
  </si>
  <si>
    <t xml:space="preserve">“I can't share my screen in a browser meeting”</t>
  </si>
  <si>
    <t xml:space="preserve">Use the desktop client. If your own remote-support tool is browser-based, escalate urgently.</t>
  </si>
  <si>
    <t xml:space="preserve">First time someone tries to share their screen from a browser.</t>
  </si>
  <si>
    <t xml:space="preserve">Check how the service desk actually does remote support — if it is browser-delivered, this breaks their own tooling. L2, scope out if so.</t>
  </si>
  <si>
    <t xml:space="preserve">Network security: LAN Manager auth level + SMBv1 disabled + SMB signing always</t>
  </si>
  <si>
    <t xml:space="preserve">LmCompatibilityLevel = 5 (NTLMv2 only, refuse LM &amp; NTLM) · SMBv1 client driver = 4 (disabled) · SMBv1 server = 0 · client and server digital signing = 1 (always)</t>
  </si>
  <si>
    <t xml:space="preserve">CAD · Office · Service desk</t>
  </si>
  <si>
    <t xml:space="preserve">Legacy network kit that cannot do NTLMv2, SMBv2+ or SMB signing stops authenticating. In an engineering or architecture firm that typically means the office MFP's scan-to-folder stops working, older NAS boxes become unreachable, and network plotters or scanners with old firmware drop off. SMB signing also adds CPU cost to large transfers — noticeable opening big CAD assemblies from a file server.</t>
  </si>
  <si>
    <t xml:space="preserve">“The photocopier can't scan to my folder any more”</t>
  </si>
  <si>
    <t xml:space="preserve">Investigate</t>
  </si>
  <si>
    <t xml:space="preserve">Check the device's firmware and SMB/auth capability. A firmware update usually fixes it — do not weaken the policy per-device.</t>
  </si>
  <si>
    <t xml:space="preserve">Immediately for authentication; file-open slowdowns show up under load.</t>
  </si>
  <si>
    <t xml:space="preserve">Inventory the network kit BEFORE deploying: every MFP, scanner, plotter and NAS. Firmware updates fix most of it. This is the classic 'security baseline broke the photocopier' scenario and it is very likely in this client profile.</t>
  </si>
  <si>
    <t xml:space="preserve">Settings verified + Microsoft LAN Manager authentication level docs. MFP/NAS impact is assessment — inventory to confirm.</t>
  </si>
  <si>
    <t xml:space="preserve">“Opening drawings from the server got slow”</t>
  </si>
  <si>
    <t xml:space="preserve">Confirm it correlates with the rollout. Escalate with timings — this is a tuning decision, not a device fault.</t>
  </si>
  <si>
    <t xml:space="preserve">Windows Hello for Business — Require Security Device + Exclude TPM 1.2 + Disable Post Logon Provisioning + Multi-Factor Unlock</t>
  </si>
  <si>
    <t xml:space="preserve">RequireSecurityDevice = True · ExcludeSecurityDevices/TPM12 = True · DisablePostLogonProvisioning = True · Multi-factor unlock: group A = face/fingerprint, group B = PIN/face/fingerprint, plus a bluetooth proximity signal at rssiMin -10</t>
  </si>
  <si>
    <t xml:space="preserve">CAD (desktop towers) · All users</t>
  </si>
  <si>
    <t xml:space="preserve">Two compounding problems. (1) A device without TPM 2.0 will not provision Hello, and because post-logon provisioning is disabled the user is never prompted again — they silently stay on passwords and nobody notices the passwordless project didn't land. (2) Multi-factor unlock needs a group A factor, which is face or fingerprint. Desktop CAD workstations typically have neither, so those users may not be able to use Hello at all. The bluetooth signal at rssiMin -10 also needs the phone very close to register.</t>
  </si>
  <si>
    <t xml:space="preserve">“Windows Hello never asked me to set up / won't work on my desktop PC”</t>
  </si>
  <si>
    <t xml:space="preserve">Check TPM version and whether the device has a camera or fingerprint reader. Escalate — a fleet hardware question, not a per-user fix.</t>
  </si>
  <si>
    <t xml:space="preserve">At enrolment. Silent — this fails quietly rather than erroring.</t>
  </si>
  <si>
    <t xml:space="preserve">Audit TPM version across the fleet first. Decide explicitly whether desktop towers get biometric hardware or are excluded from multi-factor unlock. Loosen rssiMin if bluetooth proximity is used at all.</t>
  </si>
  <si>
    <t xml:space="preserve">Settings verified across 5 policies (4 are legacy OMA-URI) + Workbook note #22. Desktop-tower biometric gap is assessment.</t>
  </si>
  <si>
    <t xml:space="preserve">Baseline - Configure Windows protected print</t>
  </si>
  <si>
    <t xml:space="preserve">Protected Print Mode = Enabled (1)</t>
  </si>
  <si>
    <t xml:space="preserve">Disables ALL third-party v3/v4 print drivers. Only Mopria-certified IPP printers work. Large-format plotters (DesignJet, imagePROGRAF, Océ) and MFP finishing — stapling, booklet, secure/PIN release — stop working. Legacy port monitors and DLL-based print utilities stop working.</t>
  </si>
  <si>
    <t xml:space="preserve">“I can't add the plotter / my printer driver won't install”</t>
  </si>
  <si>
    <t xml:space="preserve">Check the printer against the Mopria certified list. If not certified it needs a policy exclusion — escalate, do not rebuild the machine.</t>
  </si>
  <si>
    <t xml:space="preserve">First print job after apply. Immediate and fleet-wide.</t>
  </si>
  <si>
    <t xml:space="preserve">Inventory printers against the Mopria certified list BEFORE deploying. If any plotter or MFP is not certified, exclude this policy or scope it to office devices only. Reversible — you can revert to driver-based printing.</t>
  </si>
  <si>
    <t xml:space="preserve">Setting verified + Microsoft 'Windows protected print mode for enterprises' docs</t>
  </si>
  <si>
    <t xml:space="preserve">“Stapling / booklet / secure PIN release has disappeared from the print dialog”</t>
  </si>
  <si>
    <t xml:space="preserve">Escalate as a scoping decision. There is no client-side fix.</t>
  </si>
  <si>
    <t xml:space="preserve">CISv4 - WIN - L1 - UAC: Behavior of the elevation prompt for standard users</t>
  </si>
  <si>
    <t xml:space="preserve">ConsentPromptBehaviorUser = 0 (automatically deny)</t>
  </si>
  <si>
    <t xml:space="preserve">Standard users get NO elevation prompt — the operation returns 'Access denied' and fails. A user cannot be talked through entering admin credentials because no prompt appears. Any install, driver update or self-elevating app just fails.</t>
  </si>
  <si>
    <t xml:space="preserve">“Nothing happens when I try to install something — it just says access denied”</t>
  </si>
  <si>
    <t xml:space="preserve">Do not try to talk the user through a prompt — there isn't one. Use LAPS / admin-by-request / RMM elevation.</t>
  </si>
  <si>
    <t xml:space="preserve">Any time a non-admin hits something needing elevation. Constant.</t>
  </si>
  <si>
    <t xml:space="preserve">Ensure the service desk has a working elevation path first — LAPS, admin-by-request, or RMM elevation. Brief them that 'access denied with no prompt' is expected, not a broken machine.</t>
  </si>
  <si>
    <t xml:space="preserve">Setting verified + Microsoft UAC policy docs</t>
  </si>
  <si>
    <t xml:space="preserve">CISv4 - WIN - L1 - Credential Guard</t>
  </si>
  <si>
    <t xml:space="preserve">LsaCfgFlags = 1 (Enabled WITH UEFI lock)</t>
  </si>
  <si>
    <t xml:space="preserve">Dev team · Service desk</t>
  </si>
  <si>
    <t xml:space="preserve">Credential Guard with UEFI lock CANNOT be turned off remotely. If it breaks a developer's VM (VMware without nested virtualisation) or fails on incompatible hardware, the fix needs physical firmware access — a site visit per affected device across 200 endpoints.</t>
  </si>
  <si>
    <t xml:space="preserve">“My VM won't start / VMware says it can't run”</t>
  </si>
  <si>
    <t xml:space="preserve">Escalate immediately</t>
  </si>
  <si>
    <t xml:space="preserve">Escalate — needs a physical firmware change. Flag early: every affected machine is a site visit.</t>
  </si>
  <si>
    <t xml:space="preserve">At next reboot. Hardware/VM incompatibility shows immediately.</t>
  </si>
  <si>
    <t xml:space="preserve">Use LsaCfgFlags = 2 (enabled WITHOUT lock) for pilot so it stays remotely reversible; move to 1 only once proven. Verify TPM 2.0 + UEFI + 64-bit, and test dev machines running VMware/Hyper-V specifically.</t>
  </si>
  <si>
    <t xml:space="preserve">Setting verified + Microsoft DeviceGuard CSP docs. NOTE: the source workbook does NOT flag this — its note #8 covers LSA protection's UEFI lock only.</t>
  </si>
  <si>
    <t xml:space="preserve">Baseline - Device Control</t>
  </si>
  <si>
    <t xml:space="preserve">RemovableDiskDenyWriteAccess = 1 · AllowDirectMemoryAccess = 0 · AllowBluetooth = 2</t>
  </si>
  <si>
    <t xml:space="preserve">Writing to USB storage is denied — blocks 'copy the drawing set to a stick for site or the client'. DMA blocking can affect Thunderbolt docks and eGPU enclosures used on CAD workstations.</t>
  </si>
  <si>
    <t xml:space="preserve">“I can't save to my USB stick”</t>
  </si>
  <si>
    <t xml:space="preserve">Point the user to the agreed alternative (OneDrive/SharePoint). Do not disable per-device.</t>
  </si>
  <si>
    <t xml:space="preserve">First attempt to save to USB. Very visible.</t>
  </si>
  <si>
    <t xml:space="preserve">Agree the file-transfer alternative with the customer BEFORE deploying. Pilot on a real CAD workstation with its actual dock.</t>
  </si>
  <si>
    <t xml:space="preserve">Settings verified + Workbook note #17. Dock/eGPU impact is assessment — test on real hardware.</t>
  </si>
  <si>
    <t xml:space="preserve">“My dock / second monitor stopped working”</t>
  </si>
  <si>
    <t xml:space="preserve">Confirm whether the dock is Thunderbolt/DMA-based. Test on an unenrolled machine before assuming hardware failure.</t>
  </si>
  <si>
    <t xml:space="preserve">Edge + Chrome extension allow-lists</t>
  </si>
  <si>
    <t xml:space="preserve">Default-deny allow-list (customer extension IDs required)</t>
  </si>
  <si>
    <t xml:space="preserve">Deployed unconfigured, ALL browser extensions are blocked — corporate VPN clients, password managers (Keeper), accessibility tools and screen readers included.</t>
  </si>
  <si>
    <t xml:space="preserve">“All my browser extensions vanished”</t>
  </si>
  <si>
    <t xml:space="preserve">Collect the extension ID and escalate for the approved list. Do not sideload.</t>
  </si>
  <si>
    <t xml:space="preserve">Immediately on apply.</t>
  </si>
  <si>
    <t xml:space="preserve">Populate EdgeApprovedExtensionIds / ChromeApprovedExtensionIds before deploying. Survey what users actually have — 200 users will have a long tail nobody documented.</t>
  </si>
  <si>
    <t xml:space="preserve">Workbook notes #14 and #21 (both HIGH)</t>
  </si>
  <si>
    <t xml:space="preserve">CISv3 - EDGE - L2 - Allow users to proceed from the HTTPS warning page</t>
  </si>
  <si>
    <t xml:space="preserve">SSLErrorOverrideAllowed = 0</t>
  </si>
  <si>
    <t xml:space="preserve">CAD · Service desk</t>
  </si>
  <si>
    <t xml:space="preserve">MEDIUM</t>
  </si>
  <si>
    <t xml:space="preserve">Users cannot click through a certificate warning. Internal kit with self-signed or expired certs becomes unreachable in Edge: NAS admin pages, printer and plotter web UIs, CAD licence server consoles, older intranet appliances.</t>
  </si>
  <si>
    <t xml:space="preserve">“I can't open the NAS / printer / licence server web page — the cert error won't let me through”</t>
  </si>
  <si>
    <t xml:space="preserve">Install a proper certificate on the device, or escalate for an exclusion. Do not tell users to switch browser.</t>
  </si>
  <si>
    <t xml:space="preserve">First time someone opens an internal device's web page.</t>
  </si>
  <si>
    <t xml:space="preserve">Inventory internal HTTPS endpoints with self-signed certs and either install proper certs or exclude this policy. The service desk hits this constantly.</t>
  </si>
  <si>
    <t xml:space="preserve">Setting verified + Microsoft Edge policy docs. Internal-kit impact is assessment.</t>
  </si>
  <si>
    <t xml:space="preserve">Baseline - Microsoft Defender Antivirus (cloud block level + local admin merge + network file scanning)</t>
  </si>
  <si>
    <t xml:space="preserve">CloudBlockLevel = 6 (High Plus) · DisableLocalAdminMerge = 1 · AllowScanningNetworkFiles = 1 · PUAProtection = 1 · AvgCPULoadFactor = 30</t>
  </si>
  <si>
    <t xml:space="preserve">CAD · Dev team</t>
  </si>
  <si>
    <t xml:space="preserve">High Plus cloud blocking is aggressive and flags rare or unsigned software — exactly what niche CAD plugins, licence managers and in-house dev tools look like. Local admins cannot add their own Defender exclusions, so every false positive becomes a ticket. Real-time scanning of network files adds latency opening large CAD assemblies from a file server.</t>
  </si>
  <si>
    <t xml:space="preserve">“Defender quarantined our CAD plugin / licence manager”</t>
  </si>
  <si>
    <t xml:space="preserve">Do not ask the user to add an exclusion — they can't. Collect the file path and hash and escalate for a central exclusion.</t>
  </si>
  <si>
    <t xml:space="preserve">False positives cluster in the first 2-4 weeks; file-open latency is immediate under load.</t>
  </si>
  <si>
    <t xml:space="preserve">Pre-stage exclusions for the CAD suite and licence manager before deploying. Monitor Defender alerts closely in the pilot. Have a fast central path to add exclusions, since users and local admins can no longer self-serve.</t>
  </si>
  <si>
    <t xml:space="preserve">Settings verified + Workbook notes #9 and #10. CAD plugin false-positive risk is assessment.</t>
  </si>
  <si>
    <t xml:space="preserve">CISv4 - WIN - L1 - Configure Lsa Protected Process (Enabled with UEFI Lock)</t>
  </si>
  <si>
    <t xml:space="preserve">ConfigureLsaProtectedProcess = 1 (UEFI lock)</t>
  </si>
  <si>
    <t xml:space="preserve">Service desk</t>
  </si>
  <si>
    <t xml:space="preserve">Same reversal problem as Credential Guard — undoing it needs BIOS-level intervention. Also blocks tools that inject into LSASS (some SSO agents, older RMM credential helpers).</t>
  </si>
  <si>
    <t xml:space="preserve">“Our SSO agent / credential helper stopped working after a reboot”</t>
  </si>
  <si>
    <t xml:space="preserve">Check whether the tool injects into LSASS. Escalate — reversing this needs BIOS access.</t>
  </si>
  <si>
    <t xml:space="preserve">At reboot; tool incompatibility surfaces within days.</t>
  </si>
  <si>
    <t xml:space="preserve">Deploy without UEFI lock first, confirm no tooling breaks, then lock. Agree BIOS access methodology before broad deployment.</t>
  </si>
  <si>
    <t xml:space="preserve">Setting verified + Workbook note #8</t>
  </si>
  <si>
    <t xml:space="preserve">CISv4 - WIN - L1 - ASR: Block untrusted and unsigned processes that run from USB</t>
  </si>
  <si>
    <t xml:space="preserve">Set to BLOCK — the only ASR rule shipping in block mode</t>
  </si>
  <si>
    <t xml:space="preserve">Unsigned executables run from removable media are blocked. Hits CAD licence dongles that ship an unsigned helper, vendor utilities run from USB, and portable diagnostic tools the service desk carries on a stick.</t>
  </si>
  <si>
    <t xml:space="preserve">“My CAD licence dongle stopped working”</t>
  </si>
  <si>
    <t xml:space="preserve">Check Defender logs for an ASR block event. If confirmed it needs an ASR exclusion — escalate.</t>
  </si>
  <si>
    <t xml:space="preserve">First time someone runs a tool from USB.</t>
  </si>
  <si>
    <t xml:space="preserve">Confirm whether any CAD licensing uses a USB dongle with an unsigned component. Keep service desk tooling on a network share or signed media.</t>
  </si>
  <si>
    <t xml:space="preserve">Setting verified. CAD dongle impact is assessment — verify against this customer's licensing.</t>
  </si>
  <si>
    <t xml:space="preserve">CISv4 - WIN - L1 - Allow Basic authentication (WinRM Client)</t>
  </si>
  <si>
    <t xml:space="preserve">Client = 0 (Basic auth disabled)</t>
  </si>
  <si>
    <t xml:space="preserve">Remote management tools using WinRM with username/password basic auth stop working. Kerberos and certificate auth still work.</t>
  </si>
  <si>
    <t xml:space="preserve">“Our remote support tool can't connect to this machine”</t>
  </si>
  <si>
    <t xml:space="preserve">Confirm the tool's auth method. Migrating to Kerberos is the fix, not a per-device exception.</t>
  </si>
  <si>
    <t xml:space="preserve">Next time the RMM or a script connects.</t>
  </si>
  <si>
    <t xml:space="preserve">Identify RMM/automation using WinRM basic auth and migrate to Kerberos before deploying. Most likely policy to break the service desk's own tooling.</t>
  </si>
  <si>
    <t xml:space="preserve">Setting verified + Workbook note #12</t>
  </si>
  <si>
    <t xml:space="preserve">Edge: password manager disabled + sync disabled + import disabled</t>
  </si>
  <si>
    <t xml:space="preserve">PasswordManagerEnabled = 0 · SyncDisabled = 1 · ImportSavedPasswords / autofill / browser settings all = 0</t>
  </si>
  <si>
    <t xml:space="preserve">Office · Service desk</t>
  </si>
  <si>
    <t xml:space="preserve">Edge will not save or autofill passwords, will not sync favourites and settings between a user's devices, and cannot import from another browser. For users with no corporate password manager this is a large day-one behaviour change and a password-reset ticket spike.</t>
  </si>
  <si>
    <t xml:space="preserve">“Edge won't save my passwords and my favourites didn't follow me”</t>
  </si>
  <si>
    <t xml:space="preserve">Direct the user to the corporate password manager. Favourites must be exported manually before a rebuild.</t>
  </si>
  <si>
    <t xml:space="preserve">Immediately, and heavily during onboarding or machine refresh.</t>
  </si>
  <si>
    <t xml:space="preserve">Deploy a password manager (Keeper is already in this customer's approved extension list) and communicate it BEFORE these land. Sequence after any browser migration.</t>
  </si>
  <si>
    <t xml:space="preserve">Settings verified. Ticket-spike expectation is assessment.</t>
  </si>
  <si>
    <t xml:space="preserve">“I can't import my passwords into Edge”</t>
  </si>
  <si>
    <t xml:space="preserve">Direct the user to the corporate password manager.</t>
  </si>
  <si>
    <t xml:space="preserve">Edge: IE mode reload blocked · ClickOnce blocked · DirectInvoke blocked</t>
  </si>
  <si>
    <t xml:space="preserve">InternetExplorerIntegrationReloadInIEModeAllowed = 0 · ClickOnceEnabled = 0 · DirectInvokeEnabled = 0</t>
  </si>
  <si>
    <t xml:space="preserve">CAD · Office</t>
  </si>
  <si>
    <t xml:space="preserve">Legacy line-of-business web apps break. ClickOnce is still how a number of engineering and ERP vendors deploy their client; DirectInvoke is how some document systems open files directly. Users also cannot reload an unlisted site in IE mode.</t>
  </si>
  <si>
    <t xml:space="preserve">“Our ERP / document system won't launch from the browser”</t>
  </si>
  <si>
    <t xml:space="preserve">Identify how the app launches and escalate to add the site to the IE mode list or exclude the policy.</t>
  </si>
  <si>
    <t xml:space="preserve">When someone opens the affected app.</t>
  </si>
  <si>
    <t xml:space="preserve">Ask the customer what legacy web apps exist — engineering firms commonly have one ERP or document management system that needs one of these. Add sites to the IE mode list rather than leaving users to self-serve.</t>
  </si>
  <si>
    <t xml:space="preserve">Settings verified. Legacy app impact is assessment — confirm the app inventory.</t>
  </si>
  <si>
    <t xml:space="preserve">Baseline - Bitlocker Policy (BitLocker To Go)</t>
  </si>
  <si>
    <t xml:space="preserve">Unencrypted USB drives become read-only</t>
  </si>
  <si>
    <t xml:space="preserve">Users are prompted to encrypt a USB drive before writing. Intended, but reads as 'my USB stick is broken'. Compounds with Device Control above, which denies USB writes outright.</t>
  </si>
  <si>
    <t xml:space="preserve">“My USB stick has gone read-only”</t>
  </si>
  <si>
    <t xml:space="preserve">Expected — the drive needs BitLocker encryption before it can be written to.</t>
  </si>
  <si>
    <t xml:space="preserve">First write to an unencrypted stick.</t>
  </si>
  <si>
    <t xml:space="preserve">Brief end users and the service desk before deploying.</t>
  </si>
  <si>
    <t xml:space="preserve">Workbook note #3 (INFO — intended behaviour)</t>
  </si>
  <si>
    <t xml:space="preserve">Baseline - Windows AI - Turn Off Copilot in Windows (User)</t>
  </si>
  <si>
    <t xml:space="preserve">TurnOffWindowsCopilot = 1 (user scope) · Click To Do disabled · Edge GenAI local model off · Recall blocked</t>
  </si>
  <si>
    <t xml:space="preserve">Office</t>
  </si>
  <si>
    <t xml:space="preserve">Copilot in Windows is removed for users. If the customer is paying for M365 Copilot or has staff already using it, this is a visible and unpopular removal that will be read as a fault.</t>
  </si>
  <si>
    <t xml:space="preserve">“Copilot has disappeared”</t>
  </si>
  <si>
    <t xml:space="preserve">If the customer pays for M365 Copilot, escalate — likely a scoping error rather than an intended control.</t>
  </si>
  <si>
    <t xml:space="preserve">Immediately.</t>
  </si>
  <si>
    <t xml:space="preserve">Confirm the customer's AI position and licensing BEFORE deploying category 10. This is a business decision, not a security default — if they've bought Copilot, exclude this policy.</t>
  </si>
  <si>
    <t xml:space="preserve">Settings verified. Licensing conflict is assessment — ask the customer.</t>
  </si>
  <si>
    <t xml:space="preserve">Baseline - Windows Security Experience</t>
  </si>
  <si>
    <t xml:space="preserve">disablevirusui = 1 · disablenetworkui = 1 · disabledevicesecurityui = 1 · disableaccountprotectionui = 1 · disableappbrowserui = 1 · disablehealthui = 1 · disablefamilyui = 1 · hideransomwaredatarecovery = 1 · hidewindowssecuritynotificationareacontrol = 1 · disableenhancednotifications = 1</t>
  </si>
  <si>
    <t xml:space="preserve">Nearly every page of the Windows Security app is hidden — virus and threat protection, firewall and network protection, device security, account protection, app and browser control, and device health. The system tray icon is hidden too. Users cannot see whether protection is on, run a manual scan, view a detection, or release a file from quarantine. Critically, the service desk loses a standard triage step: they can no longer ask a user to open Windows Security and read out what it says.</t>
  </si>
  <si>
    <t xml:space="preserve">“Windows Security is empty / I can't tell if my antivirus is working”</t>
  </si>
  <si>
    <t xml:space="preserve">Expected — the UI is hidden by policy, protection is still running. Confirm state from the Defender portal, not the endpoint.</t>
  </si>
  <si>
    <t xml:space="preserve">Immediately. Noticed the first time anyone tries to check their own protection status or the desk tries to triage a Defender issue.</t>
  </si>
  <si>
    <t xml:space="preserve">Make sure the desk triages Defender from the Defender portal or via the RMM instead of the local UI, and knows the local UI is intentionally empty. If the customer's users are expected to self-serve any Defender interaction at all, this needs scoping out.</t>
  </si>
  <si>
    <t xml:space="preserve">Settings verified. Service desk triage impact is assessment.</t>
  </si>
  <si>
    <t xml:space="preserve">“I can't run a virus scan / release a file from quarantine”</t>
  </si>
  <si>
    <t xml:space="preserve">The user cannot do this themselves. Action it centrally from the Defender portal.</t>
  </si>
  <si>
    <t xml:space="preserve">ASR - Enable Controlled Folder Access (AUDIT mode)</t>
  </si>
  <si>
    <t xml:space="preserve">EnableControlledFolderAccess = 2 (audit)</t>
  </si>
  <si>
    <t xml:space="preserve">LOW</t>
  </si>
  <si>
    <t xml:space="preserve">Blocks nothing — but still raises user-visible Defender notifications when an app writes to a protected folder. Users report these as 'a virus warning', so the policy costs ticket volume while providing logging only. CAD autosave and backup agents are the usual triggers.</t>
  </si>
  <si>
    <t xml:space="preserve">“Defender is warning about a file in my Documents folder”</t>
  </si>
  <si>
    <t xml:space="preserve">Expected — not blocking</t>
  </si>
  <si>
    <t xml:space="preserve">Reassure the user nothing was blocked. Log it — these events are the evidence for deciding whether block mode is safe.</t>
  </si>
  <si>
    <t xml:space="preserve">Continuously, wherever apps write to Documents or Desktop.</t>
  </si>
  <si>
    <t xml:space="preserve">Brief the desk that these are audit events, not blocks. Treat the volume as free intelligence — it is exactly the evidence needed to decide whether block mode would ever be safe here.</t>
  </si>
  <si>
    <t xml:space="preserve">Setting verified + Workbook note #5. Ticket-volume effect is assessment.</t>
  </si>
  <si>
    <t xml:space="preserve">CISv4 - WIN - L1 - Interactive logon: Machine inactivity limit</t>
  </si>
  <si>
    <t xml:space="preserve">MachineInactivityLimit = 900 seconds (15 minutes)</t>
  </si>
  <si>
    <t xml:space="preserve">Screen locks after 15 minutes idle. CAD engineers watching a long render, plot or simulation will lock repeatedly while monitoring a job that needs no input.</t>
  </si>
  <si>
    <t xml:space="preserve">“My screen keeps locking while I'm watching a render”</t>
  </si>
  <si>
    <t xml:space="preserve">Expected. Escalate only if there is a business case for a longer limit on CAD workstations.</t>
  </si>
  <si>
    <t xml:space="preserve">Constant, low-grade.</t>
  </si>
  <si>
    <t xml:space="preserve">Usually acceptable and hard to argue against with an auditor. Mention it in user comms so it isn't reported as a fault.</t>
  </si>
  <si>
    <t xml:space="preserve">Setting verified. CAD render impact is assessment.</t>
  </si>
  <si>
    <t xml:space="preserve">CISv4 - WIN - L2 - RDS idle session time limit</t>
  </si>
  <si>
    <t xml:space="preserve">IdleLimit = 900000 ms (15 minutes)</t>
  </si>
  <si>
    <t xml:space="preserve">Idle remote sessions disconnect after 15 minutes — awkward where staff RDP into a shared workstation or licence-server box and leave a long job running.</t>
  </si>
  <si>
    <t xml:space="preserve">“My remote session keeps dropping”</t>
  </si>
  <si>
    <t xml:space="preserve">If someone relies on long unattended sessions, escalate as a scoping decision.</t>
  </si>
  <si>
    <t xml:space="preserve">Any idle remote session.</t>
  </si>
  <si>
    <t xml:space="preserve">Confirm nobody relies on long-running unattended remote sessions (CAD rendering, batch plotting on a shared box).</t>
  </si>
  <si>
    <t xml:space="preserve">Setting verified. Rendering/batch impact is assessment.</t>
  </si>
  <si>
    <t xml:space="preserve">Edge minor UX set: InPrivate off · Google Cast off · background apps off · profile creation off</t>
  </si>
  <si>
    <t xml:space="preserve">InPrivateModeAvailability = 1 (disabled) · EnableMediaRouter = 0 · BackgroundModeEnabled = 0 · BrowserAddProfileEnabled = 0</t>
  </si>
  <si>
    <t xml:space="preserve">Office · Dev team</t>
  </si>
  <si>
    <t xml:space="preserve">No InPrivate windows (devs use these to test as an anonymous user), no Google Cast to meeting-room screens, no second browser profile for a personal or client-tenant login.</t>
  </si>
  <si>
    <t xml:space="preserve">“I can't open an InPrivate window / cast to the meeting room screen”</t>
  </si>
  <si>
    <t xml:space="preserve">Expected. Escalate only if meeting rooms depend on Cast.</t>
  </si>
  <si>
    <t xml:space="preserve">Ad hoc.</t>
  </si>
  <si>
    <t xml:space="preserve">Generally acceptable. Check whether meeting rooms rely on Cast, and whether anyone legitimately needs a second Edge profile for a client tenant.</t>
  </si>
  <si>
    <t xml:space="preserve">Settings verified. Use-case impact is assessment.</t>
  </si>
  <si>
    <t xml:space="preserve">VERIFIED SAFE — will not cause problems, despite what the source workbook's warnings imply</t>
  </si>
  <si>
    <t xml:space="preserve">Worth knowing so you don't over-scope the pilot or talk a customer out of controls they can safely have. Several policies the workbook rates HIGH risk ship in AUDIT mode in this pack, so they log without blocking.</t>
  </si>
  <si>
    <t xml:space="preserve">Why it is safe as shipped</t>
  </si>
  <si>
    <t xml:space="preserve">Evidence</t>
  </si>
  <si>
    <t xml:space="preserve">ASR - Block process creations from PSExec and WMI</t>
  </si>
  <si>
    <t xml:space="preserve">Set to AUDIT</t>
  </si>
  <si>
    <t xml:space="preserve">Will NOT break RMM tooling or service desk scripts, despite the workbook rating it MEDIUM risk.</t>
  </si>
  <si>
    <t xml:space="preserve">Setting verified · workbook note #6</t>
  </si>
  <si>
    <t xml:space="preserve">ASR - Block execution of potentially obfuscated scripts</t>
  </si>
  <si>
    <t xml:space="preserve">Will NOT block developer build scripts, minified or packed JavaScript, or installer scripts.</t>
  </si>
  <si>
    <t xml:space="preserve">Setting verified</t>
  </si>
  <si>
    <t xml:space="preserve">ASR - Block all Office applications from creating child processes</t>
  </si>
  <si>
    <t xml:space="preserve">Will NOT break Office macros, add-ins or Office automation, despite the workbook rating it HIGH.</t>
  </si>
  <si>
    <t xml:space="preserve">Setting verified · workbook note #4</t>
  </si>
  <si>
    <t xml:space="preserve">Baseline - Windows Subsystem For Linux</t>
  </si>
  <si>
    <t xml:space="preserve">AllowWSL = 1 (permitted)</t>
  </si>
  <si>
    <t xml:space="preserve">WSL2 remains available to the dev team. Only WSL1 is blocked (AllowWSL1 = 0), which is rarely used. Kernel, networking, nested virtualisation and debug shell all remain user-configurable.</t>
  </si>
  <si>
    <t xml:space="preserve">CISv3 - EDGE - L1 - Clear browsing data when Edge closes</t>
  </si>
  <si>
    <t xml:space="preserve">ClearBrowsingDataOnExit = 0 (disabled)</t>
  </si>
  <si>
    <t xml:space="preserve">Users will NOT be signed out of web apps every time Edge closes. The workbook's note #19 warns about this behaviour, but the policy as shipped does not enable it.</t>
  </si>
  <si>
    <t xml:space="preserve">Setting verified · contradicts workbook note #19</t>
  </si>
  <si>
    <t xml:space="preserve">CISv3 - EDGE - L1 - Allow download restrictions</t>
  </si>
  <si>
    <t xml:space="preserve">DownloadRestrictions = 4 (block malicious only)</t>
  </si>
  <si>
    <t xml:space="preserve">Downloads are NOT blocked wholesale — value 4 blocks malicious downloads only. Value 3 would have blocked everything; this is the safe setting.</t>
  </si>
  <si>
    <t xml:space="preserve">Setting verified + Microsoft DownloadRestrictions docs</t>
  </si>
  <si>
    <t xml:space="preserve">Defender - full scan on mapped network drives</t>
  </si>
  <si>
    <t xml:space="preserve">AllowFullScanOnMappedNetworkDrives = 0</t>
  </si>
  <si>
    <t xml:space="preserve">Scheduled full scans will NOT traverse mapped drives, so a full scan won't hammer the CAD file server. (Real-time scanning of network files IS on — see the Defender row above.)</t>
  </si>
  <si>
    <t xml:space="preserve">SEPARATE ISSUE — a per-customer value with no config slot</t>
  </si>
  <si>
    <t xml:space="preserve">Why it matters</t>
  </si>
  <si>
    <t xml:space="preserve">Gap</t>
  </si>
  <si>
    <t xml:space="preserve">Local administrator rights — not managed by this baseline at all</t>
  </si>
  <si>
    <t xml:space="preserve">No LocalUsersAndGroups / restricted-groups policy anywhere in the 222</t>
  </si>
  <si>
    <t xml:space="preserve">This baseline's effectiveness rests on users being standard users, but it never enforces that. UAC auto-deny, Device Control, ASR and the Defender settings are all far weaker against a local admin — and Defender exclusions are already locked to central management (DisableLocalAdminMerge = 1), which only makes sense if admin rights are rare. If the customer's CAD engineers or developers hold local admin (common, because their tooling historically demanded it), a large share of this baseline is advisory rather than enforced.</t>
  </si>
  <si>
    <t xml:space="preserve">Settle local admin scope explicitly at the start of the engagement, and manage it with LAPS or an admin-by-request tool. It is not in customer.config.psd1 and not in the pack — it is an assumption the pack silently depends on.</t>
  </si>
  <si>
    <t xml:space="preserve">Baseline - MDE Device Tag  /  Windows-Server-Defender-Device-Tag</t>
  </si>
  <si>
    <t xml:space="preserve">DeviceTagging/Group = "Intune MWP" — hardcoded</t>
  </si>
  <si>
    <t xml:space="preserve">Every customer gets the same Defender device tag, 'Intune MWP'. Device tags drive scoping, filtering and reporting in Defender, so a shared literal across all your customers is unhelpful at best and confusing in a multi-tenant MSSP view.</t>
  </si>
  <si>
    <t xml:space="preserve">Not in customer.config.psd1 — a per-customer value with no config slot, unlike EntraTenantId or the extension lists.</t>
  </si>
  <si>
    <t xml:space="preserve">Service desk brief — expected calls after this baseline lands</t>
  </si>
  <si>
    <t xml:space="preserve">Hand this to the service desk before the pilot. Every row also appears on the Operational Impact tab against the policy that causes it — same source, so the two cannot disagree. Prevents the classic failure: a correctly-hardened endpoint gets rebuilt because nobody knew the control was intentional.</t>
  </si>
  <si>
    <t xml:space="preserve">User reports</t>
  </si>
  <si>
    <t xml:space="preserve">Caused by</t>
  </si>
  <si>
    <t xml:space="preserve">Expected or fault?</t>
  </si>
  <si>
    <t xml:space="preserve">Severity</t>
  </si>
  <si>
    <t xml:space="preserve">Why it happens</t>
  </si>
  <si>
    <t xml:space="preserve">Legacy network kit that cannot do NTLMv2, SMBv2+ or SMB signing stops authenticating. In an engineering or architecture firm that typically means the office MFP's scan-to-folder stops working, older NAS boxes become unreachable, and network plotters or scanners with old firmware drop off. SMB signin</t>
  </si>
  <si>
    <t xml:space="preserve">Two compounding problems. (1) A device without TPM 2.0 will not provision Hello, and because post-logon provisioning is disabled the user is never prompted again — they silently stay on passwords and nobody notices the passwordless project didn't land. (2) Multi-factor unlock needs a group A factor,</t>
  </si>
  <si>
    <t xml:space="preserve">High Plus cloud blocking is aggressive and flags rare or unsigned software — exactly what niche CAD plugins, licence managers and in-house dev tools look like. Local admins cannot add their own Defender exclusions, so every false positive becomes a ticket. Real-time scanning of network files adds la</t>
  </si>
  <si>
    <t xml:space="preserve">Nearly every page of the Windows Security app is hidden — virus and threat protection, firewall and network protection, device security, account protection, app and browser control, and device health. The system tray icon is hidden too. Users cannot see whether protection is on, run a manual scan, v</t>
  </si>
  <si>
    <t xml:space="preserve">Policy file</t>
  </si>
  <si>
    <t xml:space="preserve">Category</t>
  </si>
  <si>
    <t xml:space="preserve">Name in Intune</t>
  </si>
  <si>
    <t xml:space="preserve">Graph object shape</t>
  </si>
  <si>
    <t xml:space="preserve">WB row</t>
  </si>
  <si>
    <t xml:space="preserve">Workbook policy name</t>
  </si>
  <si>
    <t xml:space="preserve">Platform</t>
  </si>
  <si>
    <t xml:space="preserve">CIS level</t>
  </si>
  <si>
    <t xml:space="preserve">Source</t>
  </si>
  <si>
    <t xml:space="preserve">Control domain</t>
  </si>
  <si>
    <t xml:space="preserve">NIST SP 800-53 Rev 5</t>
  </si>
  <si>
    <t xml:space="preserve">ISO/IEC 27001:2022</t>
  </si>
  <si>
    <t xml:space="preserve">Auditor rationale</t>
  </si>
  <si>
    <t xml:space="preserve">Mapping status</t>
  </si>
  <si>
    <t xml:space="preserve">Match note</t>
  </si>
  <si>
    <t xml:space="preserve">ASR - BLOCK - Block Office applications from creating executable content</t>
  </si>
  <si>
    <t xml:space="preserve">01_Defender_for_Endpoint (Windows + Linux)</t>
  </si>
  <si>
    <t xml:space="preserve">settings_catalog_policy</t>
  </si>
  <si>
    <t xml:space="preserve">Windows 11</t>
  </si>
  <si>
    <t xml:space="preserve">L1</t>
  </si>
  <si>
    <t xml:space="preserve">Endpoint Security</t>
  </si>
  <si>
    <t xml:space="preserve">Attack Surface Reduction (ASR)</t>
  </si>
  <si>
    <t xml:space="preserve">SI-3</t>
  </si>
  <si>
    <t xml:space="preserve">8.7</t>
  </si>
  <si>
    <t xml:space="preserve">Prevents Office from dropping executables to disk — closes macro dropper attack path</t>
  </si>
  <si>
    <t xml:space="preserve">mapped</t>
  </si>
  <si>
    <t xml:space="preserve">ASR - BLOCK - Block abuse of exploited vulnerable signed drivers (Device)</t>
  </si>
  <si>
    <t xml:space="preserve">Blocks BYOVD attacks — prevents exploitation of legitimately signed but vulnerable drivers</t>
  </si>
  <si>
    <t xml:space="preserve">ASR - BLOCK - Block rebooting machine in Safe Mode</t>
  </si>
  <si>
    <t xml:space="preserve">L2</t>
  </si>
  <si>
    <t xml:space="preserve">Prevents malware from rebooting into Safe Mode to evade Defender — closes a common AV bypass technique</t>
  </si>
  <si>
    <t xml:space="preserve">ASR - BLOCK - Enable Controlled Folder Access</t>
  </si>
  <si>
    <t xml:space="preserve">Set to Audit mode — monitors ransomware-style folder access without blocking. Provides detection evidence for SI-3 without risking false-positive blocks on legitimate apps</t>
  </si>
  <si>
    <t xml:space="preserve">ASR - BLOCK - Use advanced protection against ransomware</t>
  </si>
  <si>
    <t xml:space="preserve">Ransomware protection specifically called out in ISO 8.7 and SI-3 guidance</t>
  </si>
  <si>
    <t xml:space="preserve">Baseline - App and Browser Isolation</t>
  </si>
  <si>
    <t xml:space="preserve">Malware Protection</t>
  </si>
  <si>
    <t xml:space="preserve">SI-7, SC-3</t>
  </si>
  <si>
    <t xml:space="preserve">Windows Defender Application Guard / exploit-protection settings - complements the existing ASR rule set.</t>
  </si>
  <si>
    <t xml:space="preserve">Baseline - Chrome Microsoft Defender Browser Protection</t>
  </si>
  <si>
    <t xml:space="preserve">Chrome</t>
  </si>
  <si>
    <t xml:space="preserve">SI-3, SC-8</t>
  </si>
  <si>
    <t xml:space="preserve">Extends Defender SmartScreen-equivalent protection into Chrome - closes the browser-protection gap on the non-Edge browser.</t>
  </si>
  <si>
    <t xml:space="preserve">Baseline - Defender for Endpoint Linux </t>
  </si>
  <si>
    <t xml:space="preserve">Baseline - Defender for Endpoint Linux</t>
  </si>
  <si>
    <t xml:space="preserve">Linux</t>
  </si>
  <si>
    <t xml:space="preserve">MDE</t>
  </si>
  <si>
    <t xml:space="preserve">Linux Endpoint Security</t>
  </si>
  <si>
    <t xml:space="preserve">SI-3, SI-2</t>
  </si>
  <si>
    <t xml:space="preserve">8.7, 8.8</t>
  </si>
  <si>
    <t xml:space="preserve">The only enforceable Linux hardening lever native to Intune - configures AV/EDR behaviour on Linux endpoints via mdatp_managed.json.</t>
  </si>
  <si>
    <t xml:space="preserve">Baseline - MDE Device Tag</t>
  </si>
  <si>
    <t xml:space="preserve">legacy_device_configuration</t>
  </si>
  <si>
    <t xml:space="preserve">UNMAPPED — no workbook row</t>
  </si>
  <si>
    <t xml:space="preserve">Baseline - Microsoft Defender Antivirus</t>
  </si>
  <si>
    <t xml:space="preserve">SI-3, SI-2, SI-7</t>
  </si>
  <si>
    <t xml:space="preserve">33-setting comprehensive AV policy — covers realtime monitoring, behaviour monitoring, script scanning, network protection, PUA, cloud protection (MAPS), archive scanning, email scanning, scheduled scans, signature updates every 8h, CPU throttling, sample submission, local admin merge prevention. Replaces all individual CIS AV policies. Update channels (engine/platform/sig intelligence) set to Current — Defender always up to date. ⚠ Import via: Devices &gt; Configuration (Settings Catalog) — MDE folder</t>
  </si>
  <si>
    <t xml:space="preserve">Baseline - Microsoft Defender Update controls</t>
  </si>
  <si>
    <t xml:space="preserve">Baseline - Defender Update controls</t>
  </si>
  <si>
    <t xml:space="preserve">Patch Management</t>
  </si>
  <si>
    <t xml:space="preserve">SI-2, CM-6</t>
  </si>
  <si>
    <t xml:space="preserve">8.8</t>
  </si>
  <si>
    <t xml:space="preserve">Governs signature/platform update cadence for Defender itself - closes a patch-management gap specific to the AV engine.</t>
  </si>
  <si>
    <t xml:space="preserve">Baseline - Scareware Blocker in Microsoft Edge</t>
  </si>
  <si>
    <t xml:space="preserve">Edge</t>
  </si>
  <si>
    <t xml:space="preserve">Blocks fake tech-support/scareware full-screen pages. Low functional impact, high auditor-visible value.</t>
  </si>
  <si>
    <t xml:space="preserve">Baseline - Smartscreen Enhanced Phishing Protection Block Mode</t>
  </si>
  <si>
    <t xml:space="preserve">Baseline - Windows Defender  Security Experience</t>
  </si>
  <si>
    <t xml:space="preserve">SI-3, CM-7</t>
  </si>
  <si>
    <t xml:space="preserve">8.7, 8.9</t>
  </si>
  <si>
    <t xml:space="preserve">Tamper Protection enabled — prevents users and malware from disabling Defender. Locks Security Center UI panels (family, health, network, notifications). Critical SI-3 control. ⚠ Import via: Devices &gt; Configuration (Settings Catalog) — MDE folder</t>
  </si>
  <si>
    <t xml:space="preserve">CISv3 - EDGE - L1 - Configure Microsoft Defender SmartScreen</t>
  </si>
  <si>
    <t xml:space="preserve">CIS</t>
  </si>
  <si>
    <t xml:space="preserve">Edge Browser Security</t>
  </si>
  <si>
    <t xml:space="preserve">8.7, 8.23</t>
  </si>
  <si>
    <t xml:space="preserve">Browser-level SmartScreen is the primary web filtering control — ISO 8.23 evidence</t>
  </si>
  <si>
    <t xml:space="preserve">CISv3 - EDGE - L1 - Prevent bypassing Microsoft Defender SmartScreen prompts for sites</t>
  </si>
  <si>
    <t xml:space="preserve">Closes the 'click through the warning' bypass gap on the SmartScreen policy already deployed - pairs directly with an existing control.</t>
  </si>
  <si>
    <t xml:space="preserve">CISv4 - WIN - L1 - ASR Block Adobe Reader from creating child  processes</t>
  </si>
  <si>
    <t xml:space="preserve">CISv4 - WIN - L1 - ASR: Block Adobe Reader from creating child  processes</t>
  </si>
  <si>
    <t xml:space="preserve">ASR - BLOCK - Block Adobe Reader from creating child processes</t>
  </si>
  <si>
    <t xml:space="preserve">Prevents PDF-based exploitation — closes a common document-based attack path</t>
  </si>
  <si>
    <t xml:space="preserve">CISv4 - WIN - L1 - ASR Block JavaScript or VBScript from  launching downloaded executable content</t>
  </si>
  <si>
    <t xml:space="preserve">CISv4 - WIN - L1 - ASR: Block JavaScript or VBScript from  launching downloaded executable content</t>
  </si>
  <si>
    <t xml:space="preserve">ASR - BLOCK - Block JavaScript or VBScript from launching downloaded executable content</t>
  </si>
  <si>
    <t xml:space="preserve">Blocks script-based malware delivery — covers a primary web-based attack vector</t>
  </si>
  <si>
    <t xml:space="preserve">CISv4 - WIN - L1 - ASR Block Office communication application  from creating child processes</t>
  </si>
  <si>
    <t xml:space="preserve">CISv4 - WIN - L1 - ASR: Block Office communication application  from creating child processes</t>
  </si>
  <si>
    <t xml:space="preserve">ASR - BLOCK - Block Office communication application from creating child processes</t>
  </si>
  <si>
    <t xml:space="preserve">Blocks Outlook/Teams from spawning child processes — prevents email client exploitation</t>
  </si>
  <si>
    <t xml:space="preserve">CISv4 - WIN - L1 - ASR Block Win32 API calls from Office  macros</t>
  </si>
  <si>
    <t xml:space="preserve">CISv4 - WIN - L1 - ASR: Block Win32 API calls from Office  macros</t>
  </si>
  <si>
    <t xml:space="preserve">ASR - BLOCK - Block Win32 API calls from Office macros</t>
  </si>
  <si>
    <t xml:space="preserve">Macro-based attacks are a top threat vector — directly evidences ISO 8.7 macro controls</t>
  </si>
  <si>
    <t xml:space="preserve">CISv4 - WIN - L1 - ASR Block all Office applications from creating  child processes</t>
  </si>
  <si>
    <t xml:space="preserve">CISv4 - WIN - L1 - ASR: Block all Office applications from creating  child processes</t>
  </si>
  <si>
    <t xml:space="preserve">ASR - BLOCK - Block all Office applications from creating child processes</t>
  </si>
  <si>
    <t xml:space="preserve">Blanket block on Office spawning any child process — strongest Office attack surface control</t>
  </si>
  <si>
    <t xml:space="preserve">CISv4 - WIN - L1 - ASR Block credential stealing from the  Windows local security authority subsystem</t>
  </si>
  <si>
    <t xml:space="preserve">CISv4 - WIN - L1 - ASR: Block credential stealing from the  Windows local security authority subsystem</t>
  </si>
  <si>
    <t xml:space="preserve">ASR - BLOCK - Block credential stealing from the Windows local security authority subsystem</t>
  </si>
  <si>
    <t xml:space="preserve">SI-3, SI-16</t>
  </si>
  <si>
    <t xml:space="preserve">Blocks LSASS dumping — highest-value ASR rule. ES BLOCK policy used: proper template reference, enforced block mode</t>
  </si>
  <si>
    <t xml:space="preserve">CISv4 - WIN - L1 - ASR Block executable content from email  client and webmail</t>
  </si>
  <si>
    <t xml:space="preserve">CISv4 - WIN - L1 - ASR: Block executable content from email  client and webmail</t>
  </si>
  <si>
    <t xml:space="preserve">ASR - BLOCK - Block executable content from email client and webmail</t>
  </si>
  <si>
    <t xml:space="preserve">Email is the primary malware delivery vector — enforced block mode with template reference</t>
  </si>
  <si>
    <t xml:space="preserve">CISv4 - WIN - L1 - ASR Block executable files from running  unless they meet a prevalence, age, or trusted list criterion'</t>
  </si>
  <si>
    <t xml:space="preserve">CISv4 - WIN - L1 - ASR: Block executable files from running  unless they meet a prevalence, age, or trusted list criterion'</t>
  </si>
  <si>
    <t xml:space="preserve">CISv4 - WIN - L1 - ASR Block execution of potentially obfuscated  scripts</t>
  </si>
  <si>
    <t xml:space="preserve">CISv4 - WIN - L1 - ASR: Block execution of potentially obfuscated  scripts</t>
  </si>
  <si>
    <t xml:space="preserve">CISv4 - WIN - L1 - ASR Block persistence through WMI event  subscription</t>
  </si>
  <si>
    <t xml:space="preserve">CISv4 - WIN - L1 - ASR: Block persistence through WMI event  subscription</t>
  </si>
  <si>
    <t xml:space="preserve">ASR - BLOCK - Block persistence through WMI event subscription</t>
  </si>
  <si>
    <t xml:space="preserve">Blocks WMI-based persistence — a favourite technique for fileless malware and APT actors</t>
  </si>
  <si>
    <t xml:space="preserve">CISv4 - WIN - L1 - ASR Block process creations originating from  PSExec and WMI commands</t>
  </si>
  <si>
    <t xml:space="preserve">CISv4 - WIN - L1 - ASR: Block process creations originating from  PSExec and WMI commands</t>
  </si>
  <si>
    <t xml:space="preserve">Blocks living-off-the-land lateral movement via PSExec and WMI — CIS L1 version used (no ES BLOCK equivalent exists for this specific rule)</t>
  </si>
  <si>
    <t xml:space="preserve">CISv4 - WIN - L1 - ASR Block untrusted and unsigned processes  that run from USB</t>
  </si>
  <si>
    <t xml:space="preserve">CISv4 - WIN - L1 - ASR: Block untrusted and unsigned processes  that run from USB</t>
  </si>
  <si>
    <t xml:space="preserve">ASR - BLOCK - Block untrusted and unsigned processes that run from USB</t>
  </si>
  <si>
    <t xml:space="preserve">SI-3, MP-7</t>
  </si>
  <si>
    <t xml:space="preserve">Blocks malware execution from USB drives — ES BLOCK version with template reference</t>
  </si>
  <si>
    <t xml:space="preserve">CISv4 - WIN - L2 - Enable File Hash Computation</t>
  </si>
  <si>
    <t xml:space="preserve">SI-3, SI-7</t>
  </si>
  <si>
    <t xml:space="preserve">Defender computes file hashes for threat intelligence — invisible to users, strengthens SI-3 and SI-7 evidence</t>
  </si>
  <si>
    <t xml:space="preserve">Baseline - Device Password Policy (Consolidated)</t>
  </si>
  <si>
    <t xml:space="preserve">02_Windows_CIS_Benchmark_Hardening</t>
  </si>
  <si>
    <t xml:space="preserve">Authentication &amp; Account Security</t>
  </si>
  <si>
    <t xml:space="preserve">IA-5, AC-11, AC-7</t>
  </si>
  <si>
    <t xml:space="preserve">8.5, 8.1, 5.17</t>
  </si>
  <si>
    <t xml:space="preserve">Consolidates the 6 separate 'Device Password Enabled...' policies from the original baseline into one. The DeviceLock CSP requires all child settings (min length, complexity, lockout, inactivity, history) to travel together under one parent setting — deploying the original 6 as separate policies to the same device causes a genuine Intune Settings Catalog conflict, since each file reset the others' settings back to schema defaults. Fixed 2026-09: min length 14, alphanumeric required, 5 failed attempts, 15 min inactivity, 24-password history, enabled.</t>
  </si>
  <si>
    <t xml:space="preserve">CISv4 - WIN - L1 - 'User Account Control Behavior of the  elevation prompt for standard users</t>
  </si>
  <si>
    <t xml:space="preserve">CISv4 - WIN - L1 - 'User Account Control: Behavior of the  elevation prompt for standard users</t>
  </si>
  <si>
    <t xml:space="preserve">UAC &amp; Privileged Access</t>
  </si>
  <si>
    <t xml:space="preserve">AC-6</t>
  </si>
  <si>
    <t xml:space="preserve">8.2</t>
  </si>
  <si>
    <t xml:space="preserve">Ensures standard users cannot self-elevate — AC-6 least privilege enforcement</t>
  </si>
  <si>
    <t xml:space="preserve">CISv4 - WIN - L1 - Accounts Enable Guest account status</t>
  </si>
  <si>
    <t xml:space="preserve">CISv4 - WIN - L1 - Accounts: Enable Guest account status</t>
  </si>
  <si>
    <t xml:space="preserve">AC-2</t>
  </si>
  <si>
    <t xml:space="preserve">5.16, 8.2</t>
  </si>
  <si>
    <t xml:space="preserve">Disabling guest access is a mandatory AC-2 control — auditors always check this</t>
  </si>
  <si>
    <t xml:space="preserve">CISv4 - WIN - L1 - Accounts Limit local account use of blank  passwords to console logon only'</t>
  </si>
  <si>
    <t xml:space="preserve">CISv4 - WIN - L1 - Accounts: Limit local account use of blank  passwords to console logon only'</t>
  </si>
  <si>
    <t xml:space="preserve">IA-5</t>
  </si>
  <si>
    <t xml:space="preserve">8.5, 5.17</t>
  </si>
  <si>
    <t xml:space="preserve">Blocks remote access with blank passwords — critical IA-5 evidence</t>
  </si>
  <si>
    <t xml:space="preserve">CISv4 - WIN - L1 - Accounts Rename administrator account</t>
  </si>
  <si>
    <t xml:space="preserve">CISv4 - WIN - L1 - Accounts: Rename administrator account</t>
  </si>
  <si>
    <t xml:space="preserve">AC-2, AC-6</t>
  </si>
  <si>
    <t xml:space="preserve">Removes predictable attack target — standard auditor check for AC-2/AC-6</t>
  </si>
  <si>
    <t xml:space="preserve">CISv4 - WIN - L1 - Allow Basic authentication WinRM Client</t>
  </si>
  <si>
    <t xml:space="preserve">CISv4 - WIN - L1 - Allow Indexing Encrypted Stores Or Items</t>
  </si>
  <si>
    <t xml:space="preserve">CISv4 - WIN - L1 - Always prompt for password upon connection</t>
  </si>
  <si>
    <t xml:space="preserve">Remote Access</t>
  </si>
  <si>
    <t xml:space="preserve">AC-17, IA-2</t>
  </si>
  <si>
    <t xml:space="preserve">8.5</t>
  </si>
  <si>
    <t xml:space="preserve">Prevents credential caching on RDP reconnect — AC-17 and ISO 8.5 evidence</t>
  </si>
  <si>
    <t xml:space="preserve">CISv4 - WIN - L1 - Apply UAC restrictions to local accounts on  network logons</t>
  </si>
  <si>
    <t xml:space="preserve">AC-6, AC-3</t>
  </si>
  <si>
    <t xml:space="preserve">Prevents pass-the-hash lateral movement via local admin — critical AC-6 network control</t>
  </si>
  <si>
    <t xml:space="preserve">CISv4 - WIN - L1 - Configure Lsa Protected Process is set to  'Enabled with UEFI Lock</t>
  </si>
  <si>
    <t xml:space="preserve">CISv4 - WIN - L1 - Configure Lsa Protected Process is set to  'Enabled with UEFI Lock...</t>
  </si>
  <si>
    <t xml:space="preserve">Credential Protection</t>
  </si>
  <si>
    <t xml:space="preserve">SC-3, SI-16</t>
  </si>
  <si>
    <t xml:space="preserve">8.1</t>
  </si>
  <si>
    <t xml:space="preserve">LSA protection prevents credential dumping — key evidence for SI-16 and ISO 8.1</t>
  </si>
  <si>
    <t xml:space="preserve">CISv4 - WIN - L1 - Configure SMB v1 client driver</t>
  </si>
  <si>
    <t xml:space="preserve">Network Security</t>
  </si>
  <si>
    <t xml:space="preserve">CM-7, SC-8</t>
  </si>
  <si>
    <t xml:space="preserve">8.9, 8.20</t>
  </si>
  <si>
    <t xml:space="preserve">Disabling SMBv1 closes the EternalBlue attack surface — standard audit expectation</t>
  </si>
  <si>
    <t xml:space="preserve">CISv4 - WIN - L1 - Configure SMB v1 server</t>
  </si>
  <si>
    <t xml:space="preserve">Server-side SMBv1 disable — auditors check both client and server settings</t>
  </si>
  <si>
    <t xml:space="preserve">CISv4 - WIN - L1 - Interactive logon Machine inactivity limit</t>
  </si>
  <si>
    <t xml:space="preserve">Screen Lock &amp; Session</t>
  </si>
  <si>
    <t xml:space="preserve">AC-11</t>
  </si>
  <si>
    <t xml:space="preserve">Idle timeout lockout — one of the most commonly tested physical security controls</t>
  </si>
  <si>
    <t xml:space="preserve">CISv4 - WIN - L1 - Interactive logon Smart card removal  behavior</t>
  </si>
  <si>
    <t xml:space="preserve">CISv4 - WIN - L1 - Interactive logon: Smart card removal  behavior</t>
  </si>
  <si>
    <t xml:space="preserve">Locks workstation on smart card removal — supports AC-11 session termination</t>
  </si>
  <si>
    <t xml:space="preserve">CISv4 - WIN - L1 - MSS (AutoAdminLogon) Enable Automatic  Logon (not recommended)</t>
  </si>
  <si>
    <t xml:space="preserve">CISv4 - WIN - L1 - MSS: (AutoAdminLogon) Enable Automatic  Logon (not recommended)</t>
  </si>
  <si>
    <t xml:space="preserve">CISv4 - WIN - L1 - Microsoft network client Digitally sign  communications (always)</t>
  </si>
  <si>
    <t xml:space="preserve">CISv4 - WIN - L1 - Microsoft network client: Digitally sign  communications (always)</t>
  </si>
  <si>
    <t xml:space="preserve">SC-8</t>
  </si>
  <si>
    <t xml:space="preserve">8.20</t>
  </si>
  <si>
    <t xml:space="preserve">Mandates SMB signing — prevents relay attacks, directly evidences SC-8</t>
  </si>
  <si>
    <t xml:space="preserve">CISv4 - WIN - L1 - Microsoft network server Digitally sign  communications (always)</t>
  </si>
  <si>
    <t xml:space="preserve">CISv4 - WIN - L1 - Microsoft network server: Digitally sign  communications (always)</t>
  </si>
  <si>
    <t xml:space="preserve">CISv4 - WIN - L1 - Network security Do not store LAN Manager  hash value on next password change</t>
  </si>
  <si>
    <t xml:space="preserve">CISv4 - WIN - L1 - Network security: Do not store LAN Manager  hash value on next password change</t>
  </si>
  <si>
    <t xml:space="preserve">Eliminates weak LM hash storage — directly satisfies IA-5 and ISO 5.17</t>
  </si>
  <si>
    <t xml:space="preserve">CISv4 - WIN - L1 - Network security LAN Manager authentication  level</t>
  </si>
  <si>
    <t xml:space="preserve">CISv4 - WIN - L1 - Network security: LAN Manager authentication  level</t>
  </si>
  <si>
    <t xml:space="preserve">IA-3, SC-8</t>
  </si>
  <si>
    <t xml:space="preserve">8.5, 8.20</t>
  </si>
  <si>
    <t xml:space="preserve">Sets NTLMv2-only — eliminates weak auth protocols, satisfies SC-8 and ISO 8.5</t>
  </si>
  <si>
    <t xml:space="preserve">CISv4 - WIN - L1 - Prevent the use of security questions for  local accounts</t>
  </si>
  <si>
    <t xml:space="preserve">Eliminates weak authenticator fallback — directly addresses IA-5 and ISO 5.17</t>
  </si>
  <si>
    <t xml:space="preserve">CISv4 - WIN - L1 - Require a password when a computer  wakes (plugged in)</t>
  </si>
  <si>
    <t xml:space="preserve">Ensures wake-from-sleep requires re-authentication — AC-11 evidence for auditors</t>
  </si>
  <si>
    <t xml:space="preserve">CISv4 - WIN - L1 - Require secure RPC communication</t>
  </si>
  <si>
    <t xml:space="preserve">Authenticated and encrypted RPC — closes unauthenticated RPC exploitation path</t>
  </si>
  <si>
    <t xml:space="preserve">CISv4 - WIN - L1 - Require user authentication for remote  connections by using Network Level Authentication</t>
  </si>
  <si>
    <t xml:space="preserve">NLA for RDP is one of the first remote access controls auditors test</t>
  </si>
  <si>
    <t xml:space="preserve">CISv4 - WIN - L1 - Set client connection encryption level</t>
  </si>
  <si>
    <t xml:space="preserve">AC-17, SC-8</t>
  </si>
  <si>
    <t xml:space="preserve">Forces high encryption on RDP sessions — directly evidences SC-8 for remote access</t>
  </si>
  <si>
    <t xml:space="preserve">CISv4 - WIN - L1 - User Account Control Behavior of the  elevation prompt for administrators</t>
  </si>
  <si>
    <t xml:space="preserve">CISv4 - WIN - L1 - User Account Control: Behavior of the  elevation prompt for administrators</t>
  </si>
  <si>
    <t xml:space="preserve">Controls how admin elevation is triggered — auditors verify prompt is not bypassed</t>
  </si>
  <si>
    <t xml:space="preserve">CISv4 - WIN - L1 - User Account Control Run all administrators  in Admin Approval Mode</t>
  </si>
  <si>
    <t xml:space="preserve">CISv4 - WIN - L1 - User Account Control: Run all administrators  in Admin Approval Mode</t>
  </si>
  <si>
    <t xml:space="preserve">Admin Approval Mode is the cornerstone of least-privilege enforcement on Windows</t>
  </si>
  <si>
    <t xml:space="preserve">CISv4 - WIN - L1 - WDigest Authentication</t>
  </si>
  <si>
    <t xml:space="preserve">IA-5, SC-28</t>
  </si>
  <si>
    <t xml:space="preserve">Disabling WDigest prevents cleartext credential caching — critical IA-5 and ISO 8.5 control</t>
  </si>
  <si>
    <t xml:space="preserve">CISv4 - WIN - L2 - Set time limit for active but idle  Remote Desktop Services sessions</t>
  </si>
  <si>
    <t xml:space="preserve">AC-11, AC-17</t>
  </si>
  <si>
    <t xml:space="preserve">Idle RDS session timeout — zero user impact, directly satisfies AC-11 and ISO 8.1</t>
  </si>
  <si>
    <t xml:space="preserve">CISv4 - WIN - L2 - Set time limit for disconnected  sessions</t>
  </si>
  <si>
    <t xml:space="preserve">Cleans up disconnected sessions — prevents abandoned authenticated sessions, AC-11 evidence</t>
  </si>
  <si>
    <t xml:space="preserve">CISv4 - WIN - L1 - Account Logon Audit Credential Validation</t>
  </si>
  <si>
    <t xml:space="preserve">03_Audit_and_Logging</t>
  </si>
  <si>
    <t xml:space="preserve">Audit &amp; Logging</t>
  </si>
  <si>
    <t xml:space="preserve">AU-2, AU-12</t>
  </si>
  <si>
    <t xml:space="preserve">8.15</t>
  </si>
  <si>
    <t xml:space="preserve">Captures credential use events — core audit log evidence for AU-2</t>
  </si>
  <si>
    <t xml:space="preserve">CISv4 - WIN - L1 - Account Logon Logoff Audit Account Lockout</t>
  </si>
  <si>
    <t xml:space="preserve">Lockout events evidence enforcement of AC-7 — auditors cross-reference these</t>
  </si>
  <si>
    <t xml:space="preserve">CISv4 - WIN - L1 - Account Logon Logoff Audit Logon</t>
  </si>
  <si>
    <t xml:space="preserve">Logon event capture is the most commonly audited log category</t>
  </si>
  <si>
    <t xml:space="preserve">CISv4 - WIN - L1 - Audit Changes to Audit Policy</t>
  </si>
  <si>
    <t xml:space="preserve">AU-2, AU-9</t>
  </si>
  <si>
    <t xml:space="preserve">Detects tampering with audit config — required for AU-9 protection of logs</t>
  </si>
  <si>
    <t xml:space="preserve">CISv4 - WIN - L1 - Audit Special Logon</t>
  </si>
  <si>
    <t xml:space="preserve">CISv4 - WIN - L1 - Audit User Account Management</t>
  </si>
  <si>
    <t xml:space="preserve">Captures account creation/modification — required for AC-2 audit trail</t>
  </si>
  <si>
    <t xml:space="preserve">CISv4 - WIN - L1 - Object Access Audit Removable Storage</t>
  </si>
  <si>
    <t xml:space="preserve">Audits all removable storage access events — ISO 8.15 evidence and forensic trail for USB activity</t>
  </si>
  <si>
    <t xml:space="preserve">CISv4 - WIN - L1 - Privilege Use Audit Sensitive Privilege Use</t>
  </si>
  <si>
    <t xml:space="preserve">Logs use of sensitive privileges — directly satisfies AU-2 and ISO 8.16</t>
  </si>
  <si>
    <t xml:space="preserve">CISv4 - WIN - L1 - Specify the maximum log file size (KB) Security</t>
  </si>
  <si>
    <t xml:space="preserve">AU-11</t>
  </si>
  <si>
    <t xml:space="preserve">Ensures logs are retained and not overwritten — AU-11 retention evidence</t>
  </si>
  <si>
    <t xml:space="preserve">CISv4 - WIN - L2 - Turn on PowerShell Script Block Logging</t>
  </si>
  <si>
    <t xml:space="preserve">Logs every PowerShell command executed — zero user impact, critical for incident investigation and AU-2 evidence</t>
  </si>
  <si>
    <t xml:space="preserve">CISv4 - WIN - L2 - Turn on PowerShell Transcription</t>
  </si>
  <si>
    <t xml:space="preserve">Full PowerShell session transcripts — invisible to users, strongest forensic audit trail available on Windows</t>
  </si>
  <si>
    <t xml:space="preserve">Baseline - Account Protection</t>
  </si>
  <si>
    <t xml:space="preserve">04_Identity_and_Authentication</t>
  </si>
  <si>
    <t xml:space="preserve">endpoint_security_intent</t>
  </si>
  <si>
    <t xml:space="preserve">AC-6, IA-2</t>
  </si>
  <si>
    <t xml:space="preserve">Microsoft's bundled account-protection template (Windows Hello / credential-guard-adjacent controls).</t>
  </si>
  <si>
    <t xml:space="preserve">CISv4 - WIN - L2 - Support device authentication using  certificate</t>
  </si>
  <si>
    <t xml:space="preserve">IA-3</t>
  </si>
  <si>
    <t xml:space="preserve">Certificate-based device authentication strengthens IA-3 — no user-facing impact</t>
  </si>
  <si>
    <t xml:space="preserve">Baseline - Block add MSA accounts and non-MSA accounts</t>
  </si>
  <si>
    <t xml:space="preserve">05_Tenant_and_Account_Access_Control</t>
  </si>
  <si>
    <t xml:space="preserve">Modern Workplace</t>
  </si>
  <si>
    <t xml:space="preserve">Identity &amp; Account Control</t>
  </si>
  <si>
    <t xml:space="preserve">AC-2, IA-8</t>
  </si>
  <si>
    <t xml:space="preserve">5.16, 8.5</t>
  </si>
  <si>
    <t xml:space="preserve">Blocks personal Microsoft accounts and non-Microsoft accounts at OS level — prevents users signing into Edge or apps with personal credentials. Deploy as-is. ⚠ Import via: Devices &gt; Configuration (Settings Catalog)</t>
  </si>
  <si>
    <t xml:space="preserve">Baseline - One Drive management settings</t>
  </si>
  <si>
    <t xml:space="preserve">AC-2, AC-3</t>
  </si>
  <si>
    <t xml:space="preserve">5.15, 8.3</t>
  </si>
  <si>
    <t xml:space="preserve">Restricts OneDrive to org tenant only via allowtenantlist — prevents personal OneDrive sign-in. Also includes mass delete protection and auto-mount of Teams sites. ⚠ REQUIRES CUSTOMISATION: Add customer Entra Tenant ID to allowtenantlist before deploying. ⚠ Import via: Devices &gt; Configuration (Settings Catalog)</t>
  </si>
  <si>
    <t xml:space="preserve">Baseline - Teams - Restrict sign in to Teams to accounts in specific tenants</t>
  </si>
  <si>
    <t xml:space="preserve">Baseline - Bitlocker Policy</t>
  </si>
  <si>
    <t xml:space="preserve">06_Data_Encryption</t>
  </si>
  <si>
    <t xml:space="preserve">Encryption at Rest</t>
  </si>
  <si>
    <t xml:space="preserve">SC-28, MP-5</t>
  </si>
  <si>
    <t xml:space="preserve">8.24</t>
  </si>
  <si>
    <t xml:space="preserve">ENFORCES BitLocker on OS drive (XTS-AES 256), fixed drives, and requires BitLocker To Go on USB drives before write access is granted. Recovery keys escrowed to Entra ID. Silent deployment — no user prompt. ⚠ Import via: Endpoint Security &gt; Disk Encryption (not Settings Catalog)</t>
  </si>
  <si>
    <t xml:space="preserve">Baseline - Linux - Device Encryption</t>
  </si>
  <si>
    <t xml:space="preserve">compliance_policy</t>
  </si>
  <si>
    <t xml:space="preserve">Baseline - Personal Data Encryption</t>
  </si>
  <si>
    <t xml:space="preserve">File-level encryption tied to Windows Hello sign-in - complements rather than conflicts with BitLocker. Roll out alongside WHFB.</t>
  </si>
  <si>
    <t xml:space="preserve">CISv4 - Choose how BitLocker-protected  operating system drives can be recovered  Require 48-digit recovery password</t>
  </si>
  <si>
    <t xml:space="preserve">SC-28</t>
  </si>
  <si>
    <t xml:space="preserve">Configures 48-digit recovery password requirement — complements the BitLocker enforcement policy above</t>
  </si>
  <si>
    <t xml:space="preserve">Baseline - SSL Cipher Suite Order</t>
  </si>
  <si>
    <t xml:space="preserve">07_Firewall_and_Network_Security</t>
  </si>
  <si>
    <t xml:space="preserve">SC-8, SC-13</t>
  </si>
  <si>
    <t xml:space="preserve">Straightforward network-hardening win.</t>
  </si>
  <si>
    <t xml:space="preserve">Baseline - Windows - Firewall</t>
  </si>
  <si>
    <t xml:space="preserve">08_Removable_Media_and_Device_Control</t>
  </si>
  <si>
    <t xml:space="preserve">CISv4 - WIN - L1 - Disallow Autoplay for non-volume devices</t>
  </si>
  <si>
    <t xml:space="preserve">Removable Media &amp; USB</t>
  </si>
  <si>
    <t xml:space="preserve">MP-7, CM-7</t>
  </si>
  <si>
    <t xml:space="preserve">8.9</t>
  </si>
  <si>
    <t xml:space="preserve">Extends autoplay block to non-volume devices like phones — closes MP-7 gap</t>
  </si>
  <si>
    <t xml:space="preserve">CISv4 - WIN - L1 - Turn off Autoplay</t>
  </si>
  <si>
    <t xml:space="preserve">CISv4 - WIN - L1 - Allow Auto Update</t>
  </si>
  <si>
    <t xml:space="preserve">09_Patch_Management</t>
  </si>
  <si>
    <t xml:space="preserve">SI-2</t>
  </si>
  <si>
    <t xml:space="preserve">Automatic updates is the primary SI-2 flaw remediation evidence on endpoints</t>
  </si>
  <si>
    <t xml:space="preserve">CISv4 - WIN - L1 - Defer Feature Updates Period in Days</t>
  </si>
  <si>
    <t xml:space="preserve">Controlled deferral of Feature Updates — complements Quality Updates deferral for a complete managed update posture</t>
  </si>
  <si>
    <t xml:space="preserve">CISv4 - WIN - L1 - Manage preview builds</t>
  </si>
  <si>
    <t xml:space="preserve">CISv4 - WIN - L1 - Pause Updates</t>
  </si>
  <si>
    <t xml:space="preserve">Prevents users from pausing Windows Updates — without this users can bypass update compliance for up to 5 weeks</t>
  </si>
  <si>
    <t xml:space="preserve">CISv4 - WIN - L1 - Scheduled Install Day</t>
  </si>
  <si>
    <t xml:space="preserve">Baseline - Disable Xbox services</t>
  </si>
  <si>
    <t xml:space="preserve">10_Privacy_and_AI_Data_Governance</t>
  </si>
  <si>
    <t xml:space="preserve">CM-7</t>
  </si>
  <si>
    <t xml:space="preserve">Least-functionality win - no legitimate business use case on managed endpoints.</t>
  </si>
  <si>
    <t xml:space="preserve">Baseline - Windows AI -  Turn Off Copilot in Windows (User)</t>
  </si>
  <si>
    <t xml:space="preserve">Windows AI / Modern Workplace</t>
  </si>
  <si>
    <t xml:space="preserve">AI &amp; Data Governance</t>
  </si>
  <si>
    <t xml:space="preserve">Cross-listed in both Windows AI and Modern Workplace source folders. Default-restrictive with per-customer override.</t>
  </si>
  <si>
    <t xml:space="preserve">Baseline - Windows AI - Block Microsoft Recall</t>
  </si>
  <si>
    <t xml:space="preserve">Windows AI</t>
  </si>
  <si>
    <t xml:space="preserve">High auditor/privacy visibility given Recall's screenshot-history model. Two near-identical exports exist upstream - the shorter filename is the one packaged here; confirm before deploying.</t>
  </si>
  <si>
    <t xml:space="preserve">Baseline - Windows AI - Copilot access to Microsoft Edge page content for Entra account</t>
  </si>
  <si>
    <t xml:space="preserve">AC-4, CM-7</t>
  </si>
  <si>
    <t xml:space="preserve">Governs whether Copilot can read page content tied to a work identity - key DLP control as Copilot rolls out.</t>
  </si>
  <si>
    <t xml:space="preserve">Baseline - Windows AI - Disable Click To Do</t>
  </si>
  <si>
    <t xml:space="preserve">Recall-adjacent on-screen OCR/action feature - same data-governance rationale as Recall.</t>
  </si>
  <si>
    <t xml:space="preserve">Baseline - Windows AI - Enable Edge GenAI local foundational model  </t>
  </si>
  <si>
    <t xml:space="preserve">Baseline - Windows AI - Enable Edge GenAI local foundational model</t>
  </si>
  <si>
    <t xml:space="preserve">Browser Benchmarks</t>
  </si>
  <si>
    <t xml:space="preserve">On-device model - data does not leave the endpoint, but the feature is immature. Pilot before wide deployment.</t>
  </si>
  <si>
    <t xml:space="preserve">Baseline - Windows AI - Settings Agent</t>
  </si>
  <si>
    <t xml:space="preserve">Baseline - Windows AI -  Settings Agent</t>
  </si>
  <si>
    <t xml:space="preserve">CISv4 - WIN - L2 - Disable Advertising ID</t>
  </si>
  <si>
    <t xml:space="preserve">Privacy &amp; Data Governance</t>
  </si>
  <si>
    <t xml:space="preserve">Kills the per-user advertising identifier — no functional impact, strong privacy compliance signal for ISO 8.9</t>
  </si>
  <si>
    <t xml:space="preserve">CISv4 - WIN - L2 - Upload User Activities</t>
  </si>
  <si>
    <t xml:space="preserve">Disables Windows timeline syncing to Microsoft — invisible to users, prevents personal activity data leaving managed environment</t>
  </si>
  <si>
    <t xml:space="preserve">CISv3 - EDGE - L1 - Allow Basic authentication for HTTP</t>
  </si>
  <si>
    <t xml:space="preserve">11_Microsoft_Edge_CIS_Benchmark</t>
  </si>
  <si>
    <t xml:space="preserve">CISv3 - EDGE - L1 - Allow Google Cast to connect to Cast devices on all IP addresses</t>
  </si>
  <si>
    <t xml:space="preserve">SC-7</t>
  </si>
  <si>
    <t xml:space="preserve">Restricted to local subnet rather than any IP.</t>
  </si>
  <si>
    <t xml:space="preserve">CISv3 - EDGE - L1 - Allow cross-origin HTTP Authentication prompts</t>
  </si>
  <si>
    <t xml:space="preserve">IA-5, SC-8</t>
  </si>
  <si>
    <t xml:space="preserve">Prevents a classic cross-origin credential-phishing vector.</t>
  </si>
  <si>
    <t xml:space="preserve">Enables dangerous-file download blocking.</t>
  </si>
  <si>
    <t xml:space="preserve">CISv3 - EDGE - L1 - Allow import of data from other browsers on each Microsoft Edge launch</t>
  </si>
  <si>
    <t xml:space="preserve">Prevents automatic cross-browser data import on every launch.</t>
  </si>
  <si>
    <t xml:space="preserve">CISv3 - EDGE - L1 - Allow importing of autofill form data</t>
  </si>
  <si>
    <t xml:space="preserve">Same family as the saved-passwords import control already deployed.</t>
  </si>
  <si>
    <t xml:space="preserve">CISv3 - EDGE - L1 - Allow importing of browser settings</t>
  </si>
  <si>
    <t xml:space="preserve">Limits unmanaged settings drift from personal browser profiles.</t>
  </si>
  <si>
    <t xml:space="preserve">CISv3 - EDGE - L1 - Allow importing of payment info</t>
  </si>
  <si>
    <t xml:space="preserve">Payment-data-adjacent import control.</t>
  </si>
  <si>
    <t xml:space="preserve">CISv3 - EDGE - L1 - Allow importing of saved passwords</t>
  </si>
  <si>
    <t xml:space="preserve">CISv3 - EDGE - L1 - Allow queries to a Browser Network Time service</t>
  </si>
  <si>
    <t xml:space="preserve">Minor network-beaconing reduction.</t>
  </si>
  <si>
    <t xml:space="preserve">CISv3 - EDGE - L1 - Allow remote debugging</t>
  </si>
  <si>
    <t xml:space="preserve">SI-7</t>
  </si>
  <si>
    <t xml:space="preserve">Blocks the remote debugging protocol, a known session/credential-theft vector.</t>
  </si>
  <si>
    <t xml:space="preserve">CISv3 - EDGE - L1 - Allow the audio sandbox to run</t>
  </si>
  <si>
    <t xml:space="preserve">SC-3</t>
  </si>
  <si>
    <t xml:space="preserve">Process-isolation hardening for audio handling.</t>
  </si>
  <si>
    <t xml:space="preserve">CISv3 - EDGE - L1 - Allow websites to query for available payment methods</t>
  </si>
  <si>
    <t xml:space="preserve">Reduces fingerprinting/payment-enumeration surface.</t>
  </si>
  <si>
    <t xml:space="preserve">CISv3 - EDGE - L1 - Blocks external extensions from being installed</t>
  </si>
  <si>
    <t xml:space="preserve">CM-7, CM-11</t>
  </si>
  <si>
    <t xml:space="preserve">Prevents unauthorised browser extensions — CM-7/CM-11 software control evidence</t>
  </si>
  <si>
    <t xml:space="preserve">CISv3 - EDGE - L1 - Clear browsing data when Microsoft Edge closes</t>
  </si>
  <si>
    <t xml:space="preserve">-</t>
  </si>
  <si>
    <t xml:space="preserve">Pilot first - some business web apps rely on persisted cache/session state.</t>
  </si>
  <si>
    <t xml:space="preserve">CISv3 - EDGE - L1 - Clear cached images and files when Microsoft Edge closes</t>
  </si>
  <si>
    <t xml:space="preserve">Same functional caveat as clearing browsing data.</t>
  </si>
  <si>
    <t xml:space="preserve">CISv3 - EDGE - L1 - Clear history for IE and IE mode every time you exit</t>
  </si>
  <si>
    <t xml:space="preserve">Only relevant where IE mode is used for legacy line-of-business apps.</t>
  </si>
  <si>
    <t xml:space="preserve">CISv3 - EDGE - L1 - Compose is enabled for writing on the web</t>
  </si>
  <si>
    <t xml:space="preserve">AI writing assistant - review data flow to the cloud model before deciding per customer.</t>
  </si>
  <si>
    <t xml:space="preserve">CISv3 - EDGE - L1 - Configure Edge Website Typo Protection</t>
  </si>
  <si>
    <t xml:space="preserve">Anti-typosquatting protection, Defender-adjacent.</t>
  </si>
  <si>
    <t xml:space="preserve">CISv3 - EDGE - L1 - Configure InPrivate mode availability</t>
  </si>
  <si>
    <t xml:space="preserve">Customer preference - disabling aids monitoring but may be seen as restrictive.</t>
  </si>
  <si>
    <t xml:space="preserve">CISv3 - EDGE - L1 - Configure the list of names that will bypass the HSTS policy check</t>
  </si>
  <si>
    <t xml:space="preserve">Keep this list empty/restricted to preserve HSTS enforcement.</t>
  </si>
  <si>
    <t xml:space="preserve">CISv3 - EDGE - L1 - Configure the list of types that are excluded from synchronization</t>
  </si>
  <si>
    <t xml:space="preserve">CISv3 - EDGE - L2 - Configure the list of types that are excluded from synchronization</t>
  </si>
  <si>
    <t xml:space="preserve">Set per customer preference on what data syncs.</t>
  </si>
  <si>
    <t xml:space="preserve">CISv3 - EDGE - L1 - Configure users ability to override feature flags</t>
  </si>
  <si>
    <t xml:space="preserve">Prevents users enabling experimental/unstable features via edge://flags.</t>
  </si>
  <si>
    <t xml:space="preserve">CISv3 - EDGE - L1 - Continue running background apps after Microsoft Edge closes</t>
  </si>
  <si>
    <t xml:space="preserve">Reduces persistent background footprint after browser close.</t>
  </si>
  <si>
    <t xml:space="preserve">CISv3 - EDGE - L1 - Control communication with the Experimentation and Configuration Service</t>
  </si>
  <si>
    <t xml:space="preserve">Limits a telemetry/remote-config channel not needed for business use.</t>
  </si>
  <si>
    <t xml:space="preserve">CISv3 - EDGE - L1 - Control use of insecure content exceptions</t>
  </si>
  <si>
    <t xml:space="preserve">Prevents users permanently exempting insecure/mixed content.</t>
  </si>
  <si>
    <t xml:space="preserve">CISv3 - EDGE - L1 - DNS interception checks enabled</t>
  </si>
  <si>
    <t xml:space="preserve">SC-7, SC-8</t>
  </si>
  <si>
    <t xml:space="preserve">Detects DNS hijacking/interception attempts.</t>
  </si>
  <si>
    <t xml:space="preserve">CISv3 - EDGE - L1 - Disable Bing chat entry-points on Microsoft Edge Enterprise new tab page</t>
  </si>
  <si>
    <t xml:space="preserve">Reduces AI-chat data-egress surface on the new tab page.</t>
  </si>
  <si>
    <t xml:space="preserve">CISv3 - EDGE - L1 - Disable synchronization of data using Microsoft sync services</t>
  </si>
  <si>
    <t xml:space="preserve">Prevents browser data leaving the managed environment — supports ISO 8.9</t>
  </si>
  <si>
    <t xml:space="preserve">CISv3 - EDGE - L1 - Edge 3P SERP Telemetry Enabled</t>
  </si>
  <si>
    <t xml:space="preserve">Disables third-party search-results telemetry.</t>
  </si>
  <si>
    <t xml:space="preserve">CISv3 - EDGE - L1 - Enable AutoFill for payment instructions</t>
  </si>
  <si>
    <t xml:space="preserve">Disabled - storing card data in browser autofill is a real risk on corporate endpoints.</t>
  </si>
  <si>
    <t xml:space="preserve">CISv3 - EDGE - L1 - Enable CryptoWallet feature</t>
  </si>
  <si>
    <t xml:space="preserve">Disabled - crypto-wallet browser feature has no business use and is a known malware target.</t>
  </si>
  <si>
    <t xml:space="preserve">CISv3 - EDGE - L1 - Enable Discover access to page contents for AAD profiles</t>
  </si>
  <si>
    <t xml:space="preserve">AC-4</t>
  </si>
  <si>
    <t xml:space="preserve">AI feature reading page content under a work identity - review data flow.</t>
  </si>
  <si>
    <t xml:space="preserve">CISv3 - EDGE - L1 - Enable Google Cast</t>
  </si>
  <si>
    <t xml:space="preserve">Same network-exposure family as the Cast IP-restriction control.</t>
  </si>
  <si>
    <t xml:space="preserve">CISv3 - EDGE - L1 - Enable Microsoft Defender SmartScreen DNS requests</t>
  </si>
  <si>
    <t xml:space="preserve">CISv3 - EDGE - L1 - Enable browser legacy extension point blocking</t>
  </si>
  <si>
    <t xml:space="preserve">Blocks legacy DLL-injection-style extension points into the browser process.</t>
  </si>
  <si>
    <t xml:space="preserve">CISv3 - EDGE - L1 - Enable component updates in Microsoft Edge</t>
  </si>
  <si>
    <t xml:space="preserve">Ensures browser components patch independently of full Edge updates.</t>
  </si>
  <si>
    <t xml:space="preserve">CISv3 - EDGE - L1 - Enable globally scoped HTTP auth cache</t>
  </si>
  <si>
    <t xml:space="preserve">Pilot first - disabling can break SSO flows in some environments.</t>
  </si>
  <si>
    <t xml:space="preserve">CISv3 - EDGE - L1 - Enable profile creation from the Identity flyout menu or the Settings page</t>
  </si>
  <si>
    <t xml:space="preserve">Restricts creation of unmanaged personal browser profiles that could bypass policy.</t>
  </si>
  <si>
    <t xml:space="preserve">CISv3 - EDGE - L1 - Enable saving passwords to the password manager</t>
  </si>
  <si>
    <t xml:space="preserve">Disabled by default in favour of an enterprise password manager where the customer has one.</t>
  </si>
  <si>
    <t xml:space="preserve">CISv3 - EDGE - L1 - Enable security warnings for command-line flags</t>
  </si>
  <si>
    <t xml:space="preserve">Flags tampered launch shortcuts using risky command-line flags.</t>
  </si>
  <si>
    <t xml:space="preserve">CISv3 - EDGE - L1 - Enable warnings for insecure forms</t>
  </si>
  <si>
    <t xml:space="preserve">Warns on mixed-content form submission - non-disruptive.</t>
  </si>
  <si>
    <t xml:space="preserve">CISv3 - EDGE - L1 - In-app support Enabled</t>
  </si>
  <si>
    <t xml:space="preserve">Support-chat widget sends data out - minor consideration.</t>
  </si>
  <si>
    <t xml:space="preserve">CISv3 - EDGE - L1 - Manage exposure of local IP addresses by WebRTC</t>
  </si>
  <si>
    <t xml:space="preserve">Standard WebRTC local-IP-leak hardening.</t>
  </si>
  <si>
    <t xml:space="preserve">CISv3 - EDGE - L1 - Show Microsoft Rewards experiences</t>
  </si>
  <si>
    <t xml:space="preserve">Disabled - consumer feature with no business relevance.</t>
  </si>
  <si>
    <t xml:space="preserve">CISv3 - EDGE - L1 - Suggest similar pages when a webpage can#U2019t be found</t>
  </si>
  <si>
    <t xml:space="preserve">CISv3 - EDGE - L1 - Suggest similar pages when a webpage can’t be found</t>
  </si>
  <si>
    <t xml:space="preserve">CISv3 - EDGE - L1 - Suggest similar pages when a webpage can't be found</t>
  </si>
  <si>
    <t xml:space="preserve">Sends failed URLs to Microsoft - minor telemetry consideration.</t>
  </si>
  <si>
    <t xml:space="preserve">CISv3 - EDGE - L1 - Update policy override default</t>
  </si>
  <si>
    <t xml:space="preserve">CM-6, SI-2</t>
  </si>
  <si>
    <t xml:space="preserve">Prevents update policy from being silently overridden.</t>
  </si>
  <si>
    <t xml:space="preserve">Minor DLP-adjacent control on file-upload dialogs.</t>
  </si>
  <si>
    <t xml:space="preserve">Camera/mic permission governance - DLP relevant.</t>
  </si>
  <si>
    <t xml:space="preserve">Screen-capture governance, increasingly relevant alongside AI features that can screenshot pages.</t>
  </si>
  <si>
    <t xml:space="preserve">CISv3 - EDGE - L2 - Allow read access via the File System API on  these sites</t>
  </si>
  <si>
    <t xml:space="preserve">CISv3 - EDGE - L2 - Allow read access via the File System API on these sites</t>
  </si>
  <si>
    <t xml:space="preserve">Default-restrict, allow-list only trusted sites.</t>
  </si>
  <si>
    <t xml:space="preserve">CISv3 - EDGE - L2 - Allow unconfigured sites to be reloaded in  Internet Explorer mode</t>
  </si>
  <si>
    <t xml:space="preserve">CISv3 - EDGE - L2 - Allow unconfigured sites to be reloaded in Internet Explorer mode</t>
  </si>
  <si>
    <t xml:space="preserve">Disable the catch-all - limits reintroduction of IE-mode attack surface to explicitly configured sites only.</t>
  </si>
  <si>
    <t xml:space="preserve">CISv3 - EDGE - L2 - Allow users to open files using the ClickOnce  protocol</t>
  </si>
  <si>
    <t xml:space="preserve">ClickOnce is a legacy attack surface — most modern businesses are unaffected by disabling it</t>
  </si>
  <si>
    <t xml:space="preserve">CISv3 - EDGE - L2 - Allow users to open files using the DirectInvoke  protocol</t>
  </si>
  <si>
    <t xml:space="preserve">DirectInvoke bypasses download safety checks — disabling has negligible user impact</t>
  </si>
  <si>
    <t xml:space="preserve">CISv3 - EDGE - L2 - Allow users to proceed from the HTTPS  warning page</t>
  </si>
  <si>
    <t xml:space="preserve">Prevents bypass of certificate warnings — blocks users from proceeding to genuinely unsafe sites</t>
  </si>
  <si>
    <t xml:space="preserve">CISv3 - EDGE - L2 - AutoLaunch Protocols Component Enabled</t>
  </si>
  <si>
    <t xml:space="preserve">Governs auto-launch of external protocol handlers without a prompt - relevant given recent protocol-handler exploit activity.</t>
  </si>
  <si>
    <t xml:space="preserve">CISv3 - EDGE - L2 - Block third party cookies</t>
  </si>
  <si>
    <t xml:space="preserve">Low functional impact for most business apps, solid tracking-protection win.</t>
  </si>
  <si>
    <t xml:space="preserve">CISv3 - EDGE - L2 - Browser sign-in settings</t>
  </si>
  <si>
    <t xml:space="preserve">IA-2, AC-2</t>
  </si>
  <si>
    <t xml:space="preserve">8.5, 5.16</t>
  </si>
  <si>
    <t xml:space="preserve">Forces users to sign in to Edge with their org account before browsing — ensures managed identity is always active. Deploy as-is.</t>
  </si>
  <si>
    <t xml:space="preserve">CISv3 - EDGE - L2 - Configure Speech Recognition</t>
  </si>
  <si>
    <t xml:space="preserve">Mic/audio data governance if cloud-based recognition is used.</t>
  </si>
  <si>
    <t xml:space="preserve">CISv3 - EDGE - L2 - Configure extension management settings</t>
  </si>
  <si>
    <t xml:space="preserve">8.9, 8.19</t>
  </si>
  <si>
    <t xml:space="preserve">Whitelists approved extensions and blocks all others — directly satisfies CM-7 and ISO 8.19. ⚠ REQUIRES CUSTOMISATION: Edit JSON to include customer-approved extension IDs before deploying.</t>
  </si>
  <si>
    <t xml:space="preserve">CISv3 - EDGE - L2 - Control use of JavaScript JIT</t>
  </si>
  <si>
    <t xml:space="preserve">SI-16</t>
  </si>
  <si>
    <t xml:space="preserve">Genuine anti-exploit mitigation against JS-engine 0-days but can measurably hurt web-app performance - pilot before wide rollout.</t>
  </si>
  <si>
    <t xml:space="preserve">CISv3 - EDGE - L2 - Control use of the File System API for reading</t>
  </si>
  <si>
    <t xml:space="preserve">CISv3 - EDGE - L2 - Control use of the Headless Mode</t>
  </si>
  <si>
    <t xml:space="preserve">Blocks headless Edge launches, used by automation-based credential-theft tooling.</t>
  </si>
  <si>
    <t xml:space="preserve">CISv3 - EDGE - L2 - Control use of the Serial API</t>
  </si>
  <si>
    <t xml:space="preserve">Reduces exposure to exotic web-based device attacks.</t>
  </si>
  <si>
    <t xml:space="preserve">CISv3 - EDGE - L2 - Control use of the Web Bluetooth API</t>
  </si>
  <si>
    <t xml:space="preserve">Same rationale as Serial API.</t>
  </si>
  <si>
    <t xml:space="preserve">CISv3 - EDGE - L2 - Control use of the WebHID API</t>
  </si>
  <si>
    <t xml:space="preserve">Same rationale as Serial/Bluetooth APIs.</t>
  </si>
  <si>
    <t xml:space="preserve">CISv3 - EDGE - L2 - Control where security restrictions on insecure  origins apply</t>
  </si>
  <si>
    <t xml:space="preserve">CISv3 - EDGE - L2 - Control where security restrictions on insecure origins apply</t>
  </si>
  <si>
    <t xml:space="preserve">Ensures insecure-origin exceptions are IT-controlled, not user-added.</t>
  </si>
  <si>
    <t xml:space="preserve">CISv3 - EDGE - L2 - Default sensors setting</t>
  </si>
  <si>
    <t xml:space="preserve">Restricts device sensor access by default.</t>
  </si>
  <si>
    <t xml:space="preserve">CISv3 - EDGE - L2 - Default setting for third-party storage  partitioning</t>
  </si>
  <si>
    <t xml:space="preserve">CISv3 - EDGE - L2 - Default setting for third-party storage partitioning</t>
  </si>
  <si>
    <t xml:space="preserve">Generally safe to enable; low risk either way.</t>
  </si>
  <si>
    <t xml:space="preserve">CISv3 - EDGE - L2 - Enable guest mode</t>
  </si>
  <si>
    <t xml:space="preserve">IA-2, CM-7</t>
  </si>
  <si>
    <t xml:space="preserve">Disables unmanaged guest browsing sessions within Edge — no impact on standard users</t>
  </si>
  <si>
    <t xml:space="preserve">CISv3 - EDGE - L2 - Enforce Bing SafeSearch</t>
  </si>
  <si>
    <t xml:space="preserve">Easy auditor-facing content-safety win.</t>
  </si>
  <si>
    <t xml:space="preserve">CISv3 - EDGE - L2 - Enforce Google SafeSearch</t>
  </si>
  <si>
    <t xml:space="preserve">Covers searches routed through Google via Edge.</t>
  </si>
  <si>
    <t xml:space="preserve">CISv3 - EDGE - L2 - Enhanced Security Mode configuration for  Intranet zone sites</t>
  </si>
  <si>
    <t xml:space="preserve">CISv3 - EDGE - L2 - Enhanced Security Mode configuration for Intranet zone sites</t>
  </si>
  <si>
    <t xml:space="preserve">Can break internal legacy web apps - test against customer's internal app inventory first.</t>
  </si>
  <si>
    <t xml:space="preserve">CISv3 - EDGE - L2 - Show an Always open checkbox in external  protocol dialog</t>
  </si>
  <si>
    <t xml:space="preserve">CISv3 - EDGE - L2 - Show an "Always open" checkbox in external  protocol dialog</t>
  </si>
  <si>
    <t xml:space="preserve">CISv3 - EDGE - L2 - Show an Always open checkbox in external protocol dialog</t>
  </si>
  <si>
    <t xml:space="preserve">Prevents permanent allow-listing of a protocol handler without re-prompting - complements AutoLaunch Protocols control.</t>
  </si>
  <si>
    <t xml:space="preserve">CISv3 - EDGE - L2 - Specify if online OCSPCRL checks are  required for local trust anchors</t>
  </si>
  <si>
    <t xml:space="preserve">CISv3 - EDGE - L2 - Specify if online OCSP/CRL checks are  required for local trust anchors</t>
  </si>
  <si>
    <t xml:space="preserve">Enforces certificate revocation checking — invisible to users, strengthens PKI integrity for SC-8 and ISO 8.24</t>
  </si>
  <si>
    <t xml:space="preserve">CISv3 - EDGE - L2 - Spell checking provided by Microsoft Editor</t>
  </si>
  <si>
    <t xml:space="preserve">Cloud-based spellcheck sends typed text to Microsoft - DLP consideration for security-conscious customers.</t>
  </si>
  <si>
    <t xml:space="preserve">CISv3 - EDGE - L2 - Supported authentication schemes</t>
  </si>
  <si>
    <t xml:space="preserve">Restrict to secure auth schemes; drop legacy schemes not required by the customer's apps.</t>
  </si>
  <si>
    <t xml:space="preserve">Baseline -  WHFB Exclude Security Devices TPM 1.2 </t>
  </si>
  <si>
    <t xml:space="preserve">12_Passwordless_Authentication</t>
  </si>
  <si>
    <t xml:space="preserve">Baseline -  WHFB Exclude Security Devices TPM 1.2 -1 </t>
  </si>
  <si>
    <t xml:space="preserve">Baseline - WHFB Exclude Security Devices TPM 1.2</t>
  </si>
  <si>
    <t xml:space="preserve">WHFB</t>
  </si>
  <si>
    <t xml:space="preserve">Passwordless Authentication</t>
  </si>
  <si>
    <t xml:space="preserve">IA-2</t>
  </si>
  <si>
    <t xml:space="preserve">Compatibility companion - only needed where TPM 1.2 devices remain in the fleet.</t>
  </si>
  <si>
    <t xml:space="preserve">Baseline - Enables FIDO Security Keys to be used during Windows Sign In -1</t>
  </si>
  <si>
    <t xml:space="preserve">Baseline - Enables FIDO Security Keys to be used during Windows Sign In</t>
  </si>
  <si>
    <t xml:space="preserve">FIDO</t>
  </si>
  <si>
    <t xml:space="preserve">IA-2, IA-5</t>
  </si>
  <si>
    <t xml:space="preserve">Customer-driven - relevant where hardware security keys are being issued.</t>
  </si>
  <si>
    <t xml:space="preserve">Baseline - WHFB Disable Post Logon Provisioning</t>
  </si>
  <si>
    <t xml:space="preserve">Baseline - WHFB Disable Post Logon Provisioning - 1</t>
  </si>
  <si>
    <t xml:space="preserve">Companion hardening setting for WHFB rollout.</t>
  </si>
  <si>
    <t xml:space="preserve">Baseline - WHFB Muti-Factor unlock Template config</t>
  </si>
  <si>
    <t xml:space="preserve">Baseline - WHFB Require Security Device</t>
  </si>
  <si>
    <t xml:space="preserve">Baseline - WHFB Require Security Device - 1</t>
  </si>
  <si>
    <t xml:space="preserve">Core Windows Hello for Business enforcement. Confirm TPM/security-key inventory per customer before rollout.</t>
  </si>
  <si>
    <t xml:space="preserve">Baseline - Chrome - Block external extensions from being installed</t>
  </si>
  <si>
    <t xml:space="preserve">13_Google_Chrome_CIS_Benchmark</t>
  </si>
  <si>
    <t xml:space="preserve">Browser Security (Chrome)</t>
  </si>
  <si>
    <t xml:space="preserve">CM-11</t>
  </si>
  <si>
    <t xml:space="preserve">Mirrors the Edge control already deployed - direct parity pick.</t>
  </si>
  <si>
    <t xml:space="preserve">Baseline - Chrome - Configure extension installation allow list</t>
  </si>
  <si>
    <t xml:space="preserve">Pairs with block-external for a default-deny extension model. ⚠ REQUIRES CUSTOMISATION: add customer-approved extension IDs before deploying.</t>
  </si>
  <si>
    <t xml:space="preserve">Baseline - Chrome - Enable Site Isolation for specified origins</t>
  </si>
  <si>
    <t xml:space="preserve">SC-7, SI-16</t>
  </si>
  <si>
    <t xml:space="preserve">Cross-site/Spectre-class isolation hardening.</t>
  </si>
  <si>
    <t xml:space="preserve">Baseline - Chrome Password manager and protection configuration</t>
  </si>
  <si>
    <t xml:space="preserve">Baseline - Chrome Password manager and protection configuration - 1</t>
  </si>
  <si>
    <t xml:space="preserve">Governs Chrome's built-in password manager behaviour.</t>
  </si>
  <si>
    <t xml:space="preserve">Baseline - Google Chrome Management</t>
  </si>
  <si>
    <t xml:space="preserve">Broad multi-setting bundle - check for setting overlaps with the individual Chrome policies above before deploying, same conflict-check discipline already applied to BitLocker.</t>
  </si>
  <si>
    <t xml:space="preserve">Baseline - Cloud Remediation  quick machine recovery</t>
  </si>
  <si>
    <t xml:space="preserve">14_Modern_Workplace_and_Resilience</t>
  </si>
  <si>
    <t xml:space="preserve">Baseline - Cloud Remediation / quick machine recovery</t>
  </si>
  <si>
    <t xml:space="preserve">Baseline - Cloud Remediation (quick machine recovery)</t>
  </si>
  <si>
    <t xml:space="preserve">Resilience &amp; Recovery</t>
  </si>
  <si>
    <t xml:space="preserve">CP-9, CP-10</t>
  </si>
  <si>
    <t xml:space="preserve">8.13</t>
  </si>
  <si>
    <t xml:space="preserve">Cloud-assisted boot-failure recovery - complements Windows Backup.</t>
  </si>
  <si>
    <t xml:space="preserve">Print-spooler/driver hardening, relevant given the PrintNightmare-class vulnerability history.</t>
  </si>
  <si>
    <t xml:space="preserve">Baseline - Enable Windows Backup_2025-09-01T08_19_23.564Z</t>
  </si>
  <si>
    <t xml:space="preserve">Baseline - Enable Windows Backup</t>
  </si>
  <si>
    <t xml:space="preserve">CP-9</t>
  </si>
  <si>
    <t xml:space="preserve">Endpoint backup/resilience control - first policy in a new Resilience &amp; Recovery domain (NIST CP family).</t>
  </si>
  <si>
    <t xml:space="preserve">Governs whether/how WSL is enabled. WSL is a common way Linux workloads land on managed Windows endpoints and can bypass Windows-side controls if left unmanaged.</t>
  </si>
  <si>
    <t xml:space="preserve">Baseline - Windows health monitoring</t>
  </si>
  <si>
    <t xml:space="preserve">Windows-Server-ASR-Block-Adobe-Reader-Child-Processes</t>
  </si>
  <si>
    <t xml:space="preserve">15_Defender_for_Endpoint_Windows_Server</t>
  </si>
  <si>
    <t xml:space="preserve">Windows Server</t>
  </si>
  <si>
    <t xml:space="preserve">Conditional — only meaningful if Adobe Reader is installed on the server (e.g. RDS Session Host); harmless no-op otherwise.</t>
  </si>
  <si>
    <t xml:space="preserve">Windows-Server-ASR-Block-Advanced-Ransomware-Protection</t>
  </si>
  <si>
    <t xml:space="preserve">Cloud-based ransomware behaviour protection — confirmed supported on Windows Server 2019+.</t>
  </si>
  <si>
    <t xml:space="preserve">Windows-Server-ASR-Block-Credential-Stealing-LSASS</t>
  </si>
  <si>
    <t xml:space="preserve">Windows-Server-ASR-Block-Email-Client-Executable-Content</t>
  </si>
  <si>
    <t xml:space="preserve">Blocks executable content from email/webmail. Conditional — only meaningful if the server has a mail/collaboration role (e.g. RDS Session Host); harmless no-op otherwise.</t>
  </si>
  <si>
    <t xml:space="preserve">Windows-Server-ASR-Block-Executable-Files-Prevalence</t>
  </si>
  <si>
    <t xml:space="preserve">Blocks execution of files that don't meet a prevalence/age/trust threshold — cloud-protection dependent rule, confirmed supported on Server 2019+.</t>
  </si>
  <si>
    <t xml:space="preserve">Windows-Server-ASR-Block-Exploited-Signed-Drivers</t>
  </si>
  <si>
    <t xml:space="preserve">Blocks abuse of known-vulnerable signed drivers (BYOVD attacks) — a common EDR-bypass technique against servers.</t>
  </si>
  <si>
    <t xml:space="preserve">Windows-Server-ASR-Block-JS-VBScript-Downloaded-Content</t>
  </si>
  <si>
    <t xml:space="preserve">Blocks script-launched downloaded executables. Supported on Server 2019+ (not on Server 2016/2012 R2).</t>
  </si>
  <si>
    <t xml:space="preserve">Windows-Server-ASR-Block-Obfuscated-Scripts</t>
  </si>
  <si>
    <t xml:space="preserve">Blocks execution of obfuscated PowerShell/JS/VBS — confirmed supported on Windows Server 2019+.</t>
  </si>
  <si>
    <t xml:space="preserve">Windows-Server-ASR-Block-Office-Child-Processes</t>
  </si>
  <si>
    <t xml:space="preserve">Conditional — only meaningful if Office is installed (e.g. RDS Session Host, SSRS report server); harmless no-op otherwise.</t>
  </si>
  <si>
    <t xml:space="preserve">Windows-Server-ASR-Block-Office-Communication-Child-Processes</t>
  </si>
  <si>
    <t xml:space="preserve">Conditional — only meaningful if Outlook/Teams is installed on the server (e.g. RDS Session Host); harmless no-op otherwise.</t>
  </si>
  <si>
    <t xml:space="preserve">Windows-Server-ASR-Block-Office-Executable-Content</t>
  </si>
  <si>
    <t xml:space="preserve">Conditional — only meaningful if Office is installed; harmless no-op otherwise.</t>
  </si>
  <si>
    <t xml:space="preserve">Windows-Server-ASR-Block-PSExec-WMI-Process-Creation</t>
  </si>
  <si>
    <t xml:space="preserve">Blocks PSExec/WMI-based process creation — mitigates the #1 lateral-movement technique against servers. Confirm RMM/automation tooling compatibility first (see Production Notes #6).</t>
  </si>
  <si>
    <t xml:space="preserve">Windows-Server-ASR-Block-Safe-Mode-Reboot</t>
  </si>
  <si>
    <t xml:space="preserve">Blocks forced Safe Mode reboots used by ransomware (e.g. Ryuk/Conti-style) to bypass AV/EDR before encrypting — directly relevant to servers.</t>
  </si>
  <si>
    <t xml:space="preserve">Windows-Server-ASR-Block-Untrusted-USB-Processes</t>
  </si>
  <si>
    <t xml:space="preserve">Blocks unsigned/untrusted executables launched from USB — lower priority on servers without physical console access, kept for defense-in-depth.</t>
  </si>
  <si>
    <t xml:space="preserve">Windows-Server-ASR-Block-WMI-Persistence</t>
  </si>
  <si>
    <t xml:space="preserve">Blocks WMI event subscription persistence. Requires Windows Server, Semi-Annual Channel 1903 or later — verify server build before deploying.</t>
  </si>
  <si>
    <t xml:space="preserve">Windows-Server-ASR-Block-Webshell-Creation-Exchange</t>
  </si>
  <si>
    <t xml:space="preserve">N/A</t>
  </si>
  <si>
    <t xml:space="preserve">MDE (Constructed)</t>
  </si>
  <si>
    <t xml:space="preserve">⚠ CONSTRUCTED — not present in the source repo; hand-built from Microsoft's documented real ASR rule GUID a8f5898e-1dc8-49a9-9878-85004b8a61e6. Recommended only for internet-facing IIS/Exchange servers — see Production Notes #29.</t>
  </si>
  <si>
    <t xml:space="preserve">Windows-Server-ASR-Enable-Controlled-Folder-Access</t>
  </si>
  <si>
    <t xml:space="preserve">⚠ HIGH — Controlled Folder Access can block legitimate application writes on servers (SQL, IIS, file shares, backup agents). Deploy in Audit mode first and review for 2-4 weeks before considering Block — see Production Notes #29.</t>
  </si>
  <si>
    <t xml:space="preserve">Windows-Server-Defender-Antivirus</t>
  </si>
  <si>
    <t xml:space="preserve">Same 33-setting AV policy as the client baseline, retargeted at Windows Server 2019+ device group.</t>
  </si>
  <si>
    <t xml:space="preserve">Windows-Server-Defender-Device-Tag</t>
  </si>
  <si>
    <t xml:space="preserve">Tags the device as a server asset in Defender for Endpoint for correct grouping and reporting.</t>
  </si>
  <si>
    <t xml:space="preserve">Windows-Server-Defender-Enable-File-Hash-Computation</t>
  </si>
  <si>
    <t xml:space="preserve">Enables file hash computation for AV/EDR correlation on server workloads.</t>
  </si>
  <si>
    <t xml:space="preserve">Windows-Server-Defender-Security-Experience</t>
  </si>
  <si>
    <t xml:space="preserve">Windows Security app / notification configuration — present on Server 2019+, lower priority on headless servers but harmless to deploy.</t>
  </si>
  <si>
    <t xml:space="preserve">Windows-Server-Defender-Update-Controls</t>
  </si>
  <si>
    <t xml:space="preserve">Engine / platform / security-intelligence update channel configuration for server.</t>
  </si>
  <si>
    <t xml:space="preserve">accessibility</t>
  </si>
  <si>
    <t xml:space="preserve">16_Defender_for_Endpoint_macOS</t>
  </si>
  <si>
    <t xml:space="preserve">macos_custom_configuration</t>
  </si>
  <si>
    <t xml:space="preserve">accessibility.mobileconfig — Accessibility access</t>
  </si>
  <si>
    <t xml:space="preserve">macOS</t>
  </si>
  <si>
    <t xml:space="preserve">Microsoft (mdatp-xplat)</t>
  </si>
  <si>
    <t xml:space="preserve">Grants Accessibility permission to com.microsoft.dlp.daemon. Only required if deploying Microsoft Purview DLP for Endpoint alongside MDE — harmless if DLP isn't in scope yet.</t>
  </si>
  <si>
    <t xml:space="preserve">background_services</t>
  </si>
  <si>
    <t xml:space="preserve">background_services.mobileconfig — Managed Login Items</t>
  </si>
  <si>
    <t xml:space="preserve">AC-6, IA-2, AC-3</t>
  </si>
  <si>
    <t xml:space="preserve">Prevents the user from disabling Defender's background daemons via Login Items (macOS 13 Ventura+ requirement). Without it, a local admin can silently turn off protection.</t>
  </si>
  <si>
    <t xml:space="preserve">bluetooth</t>
  </si>
  <si>
    <t xml:space="preserve">bluetooth.mobileconfig — Bluetooth permission</t>
  </si>
  <si>
    <t xml:space="preserve">MP-7, CM-7, SI-3</t>
  </si>
  <si>
    <t xml:space="preserve">Grants Bluetooth access to com.microsoft.dlp.agent (macOS 14 Sonoma+). Only required for DLP Bluetooth device-control scenarios — harmless if DLP isn't in scope yet.</t>
  </si>
  <si>
    <t xml:space="preserve">com.microsoft.autoupdate2</t>
  </si>
  <si>
    <t xml:space="preserve">com.microsoft.autoupdate2.mobileconfig — Microsoft AutoUpdate</t>
  </si>
  <si>
    <t xml:space="preserve">Configures MAU update channel (Current Channel / Production) so Defender itself stays current without relying on end users.</t>
  </si>
  <si>
    <t xml:space="preserve">com.microsoft.wdav</t>
  </si>
  <si>
    <t xml:space="preserve">com.microsoft.wdav.mobileconfig — Antivirus configuration (Recommended profile)</t>
  </si>
  <si>
    <t xml:space="preserve">Real-time protection, cloud-delivered protection with automatic sample submission, PUA blocked, archive bombs audited, Tamper Protection set to block. This is Microsoft's documented 'Recommended' starting profile, not the maximalist 'Full' profile — consistent with this baseline's functional-but-secure philosophy.</t>
  </si>
  <si>
    <t xml:space="preserve">firewall</t>
  </si>
  <si>
    <t xml:space="preserve">firewall.mobileconfig — Application Firewall (Enforced) [Apple native, not Microsoft]</t>
  </si>
  <si>
    <t xml:space="preserve">Apple (device-management repo)</t>
  </si>
  <si>
    <t xml:space="preserve">Firewall</t>
  </si>
  <si>
    <t xml:space="preserve">Forces the built-in macOS Application Firewall on with Stealth Mode enabled (hides the device from network probes/port scans). Block All Incoming left OFF by default to avoid breaking legitimate file/screen sharing services — flip to true for a stricter posture. Built from Apple's official device-management payload spec (com.apple.security.firewall), not part of Defender for Endpoint.</t>
  </si>
  <si>
    <t xml:space="preserve">fulldisk</t>
  </si>
  <si>
    <t xml:space="preserve">fulldisk.mobileconfig — Full Disk Access (PPPC)</t>
  </si>
  <si>
    <t xml:space="preserve">Grants SystemPolicyAllFiles to com.microsoft.wdav, .epsext, and com.microsoft.dlp.daemon via TCC profile. Required for real-time scanning — without it, Defender can see almost nothing on disk. Not reflected in System Settings UI when granted via MDM (expected).</t>
  </si>
  <si>
    <t xml:space="preserve">netfilter</t>
  </si>
  <si>
    <t xml:space="preserve">netfilter.mobileconfig — Network Filter approval</t>
  </si>
  <si>
    <t xml:space="preserve">SC-8, CM-7, IA-3</t>
  </si>
  <si>
    <t xml:space="preserve">8.20, 8.9, 8.5</t>
  </si>
  <si>
    <t xml:space="preserve">Approves Defender's network extension for Network Protection / web threat filtering. Only one network filter config is supported per device — check for conflicts with any other MDM network extension before deploying.</t>
  </si>
  <si>
    <t xml:space="preserve">notif</t>
  </si>
  <si>
    <t xml:space="preserve">notif.mobileconfig — Notifications</t>
  </si>
  <si>
    <t xml:space="preserve">Allows com.microsoft.wdav.tray to surface threat/status notifications to the signed-in user.</t>
  </si>
  <si>
    <t xml:space="preserve">sysext</t>
  </si>
  <si>
    <t xml:space="preserve">sysext.mobileconfig — System Extensions approval</t>
  </si>
  <si>
    <t xml:space="preserve">AC-2, IA-8, AC-3</t>
  </si>
  <si>
    <t xml:space="preserve">5.16, 8.3</t>
  </si>
  <si>
    <t xml:space="preserve">Approves Defender's Endpoint Security (com.microsoft.wdav.epsext) and Network (com.microsoft.wdav.netext) system extensions under Team ID UBF8T346G9. Without this, macOS blocks the extensions and Defender cannot run.</t>
  </si>
  <si>
    <t xml:space="preserve">Framework</t>
  </si>
  <si>
    <t xml:space="preserve">Control</t>
  </si>
  <si>
    <t xml:space="preserve">Policies mapped</t>
  </si>
  <si>
    <t xml:space="preserve">Control domains covered</t>
  </si>
  <si>
    <t xml:space="preserve">Attack Surface Reduction (ASR), Browser Security (Chrome), Edge Browser Security, Linux Endpoint Security, Malware Protection, Privacy &amp; Data Governance, Removable Media &amp; USB</t>
  </si>
  <si>
    <t xml:space="preserve">AI &amp; Data Governance, Attack Surface Reduction (ASR), Browser Security (Chrome), Edge Browser Security, Identity &amp; Account Control, Linux Endpoint Security, Malware Protection, Network Security, Privacy &amp; Data Governance, Removable Media &amp; USB, UAC &amp; Privileged Access</t>
  </si>
  <si>
    <t xml:space="preserve">Authentication &amp; Account Security, Browser Security (Chrome), Credential Protection, Edge Browser Security, Identity &amp; Account Control, Network Security, Passwordless Authentication, Remote Access</t>
  </si>
  <si>
    <t xml:space="preserve">Edge Browser Security, Firewall, Network Security, Privacy &amp; Data Governance, Remote Access</t>
  </si>
  <si>
    <t xml:space="preserve">Linux Endpoint Security, Malware Protection, Patch Management</t>
  </si>
  <si>
    <t xml:space="preserve">Authentication &amp; Account Security, Credential Protection, Identity &amp; Account Control, Remote Access, Screen Lock &amp; Session</t>
  </si>
  <si>
    <t xml:space="preserve">Authentication &amp; Account Security, UAC &amp; Privileged Access</t>
  </si>
  <si>
    <t xml:space="preserve">Edge Browser Security, Encryption at Rest, Network Security, Privacy &amp; Data Governance</t>
  </si>
  <si>
    <t xml:space="preserve">5.16</t>
  </si>
  <si>
    <t xml:space="preserve">Authentication &amp; Account Security, Identity &amp; Account Control</t>
  </si>
  <si>
    <t xml:space="preserve">5.17</t>
  </si>
  <si>
    <t xml:space="preserve">Authentication &amp; Account Security, Credential Protection</t>
  </si>
  <si>
    <t xml:space="preserve">8.3</t>
  </si>
  <si>
    <t xml:space="preserve">5.15</t>
  </si>
  <si>
    <t xml:space="preserve">8.19</t>
  </si>
  <si>
    <t xml:space="preserve">8.23</t>
  </si>
  <si>
    <t xml:space="preserve">AI &amp; Data Governance, Attack Surface Reduction (ASR), Edge Browser Security, Linux Endpoint Security, Malware Protection, Removable Media &amp; USB</t>
  </si>
  <si>
    <t xml:space="preserve">Attack Surface Reduction (ASR), Browser Security (Chrome), Credential Protection</t>
  </si>
  <si>
    <t xml:space="preserve">Edge Browser Security, Malware Protection, Network Security, Privacy &amp; Data Governance, Remote Access</t>
  </si>
  <si>
    <t xml:space="preserve">Edge Browser Security, Malware Protection</t>
  </si>
  <si>
    <t xml:space="preserve">Authentication &amp; Account Security, Browser Security (Chrome), Credential Protection, Edge Browser Security, Passwordless Authentication</t>
  </si>
  <si>
    <t xml:space="preserve">Edge Browser Security, Identity &amp; Account Control, Passwordless Authentication, Remote Access, UAC &amp; Privileged Access</t>
  </si>
  <si>
    <t xml:space="preserve">AU-2</t>
  </si>
  <si>
    <t xml:space="preserve">AU-12</t>
  </si>
  <si>
    <t xml:space="preserve">Browser Security (Chrome), Edge Browser Security, Firewall, Network Security</t>
  </si>
  <si>
    <t xml:space="preserve">Authentication &amp; Account Security, Remote Access, Screen Lock &amp; Session</t>
  </si>
  <si>
    <t xml:space="preserve">Browser Security (Chrome), Edge Browser Security, Identity &amp; Account Control</t>
  </si>
  <si>
    <t xml:space="preserve">Credential Protection, Encryption at Rest, Privacy &amp; Data Governance</t>
  </si>
  <si>
    <t xml:space="preserve">AC-17</t>
  </si>
  <si>
    <t xml:space="preserve">Credential Protection, Malware Protection, Privacy &amp; Data Governance</t>
  </si>
  <si>
    <t xml:space="preserve">AC-3</t>
  </si>
  <si>
    <t xml:space="preserve">Identity &amp; Account Control, UAC &amp; Privileged Access</t>
  </si>
  <si>
    <t xml:space="preserve">MP-5</t>
  </si>
  <si>
    <t xml:space="preserve">Encryption at Rest, Privacy &amp; Data Governance</t>
  </si>
  <si>
    <t xml:space="preserve">AI &amp; Data Governance, Identity &amp; Account Control</t>
  </si>
  <si>
    <t xml:space="preserve">CM-6</t>
  </si>
  <si>
    <t xml:space="preserve">Authentication &amp; Account Security, Network Security</t>
  </si>
  <si>
    <t xml:space="preserve">MP-7</t>
  </si>
  <si>
    <t xml:space="preserve">Attack Surface Reduction (ASR), Removable Media &amp; USB</t>
  </si>
  <si>
    <t xml:space="preserve">IA-8</t>
  </si>
  <si>
    <t xml:space="preserve">AC-7</t>
  </si>
  <si>
    <t xml:space="preserve">AU-9</t>
  </si>
  <si>
    <t xml:space="preserve">CP-10</t>
  </si>
  <si>
    <t xml:space="preserve">SC-13</t>
  </si>
  <si>
    <t xml:space="preserve">(no workbook row)</t>
  </si>
  <si>
    <t xml:space="preserve">(none recorded)</t>
  </si>
  <si>
    <t xml:space="preserve">The 24 policies with no framework mapping</t>
  </si>
  <si>
    <t xml:space="preserve">These deploy correctly — the gap is documentation, not configuration. Their rows in CIS_Compliance_Baseline_v2.xlsx are numbered but entirely blank, so no mapping exists to recover. Fill the three yellow columns in, then re-run the mapping to fold them into the coverage figures.</t>
  </si>
  <si>
    <t xml:space="preserve">Blank workbook rows: 11, 21, 24, 25, 33, 38, 43, 49, 52, 55, 60, 75, 78, 89, 91, 92, 97, 99, 103, 110, 117, 183, 189, 196</t>
  </si>
  <si>
    <t xml:space="preserve">Control domain — TO FILL</t>
  </si>
  <si>
    <t xml:space="preserve">NIST SP 800-53 Rev 5 — TO FILL</t>
  </si>
  <si>
    <t xml:space="preserve">ISO/IEC 27001:2022 — TO FILL</t>
  </si>
  <si>
    <t xml:space="preserve">Example of the expected format (delete this row before use):</t>
  </si>
  <si>
    <t xml:space="preserve">8.1, 8.5</t>
  </si>
  <si>
    <t xml:space="preserve">Read me — provenance and method</t>
  </si>
  <si>
    <t xml:space="preserve">What this is</t>
  </si>
  <si>
    <t xml:space="preserve">A factual mapping of each of the 222 Intune policies in this baseline to its NIST SP 800-53 Rev 5 controls and ISO/IEC 27001:2022 Annex A clauses.</t>
  </si>
  <si>
    <t xml:space="preserve">Sources</t>
  </si>
  <si>
    <t xml:space="preserve">Framework values: CIS_Compliance_Baseline_v2.xlsx, ‘Compliance Baseline’ sheet. Policy list, categories, Graph object shapes and deployed names: Intune-Baseline/manifest.json, generated from the 222 files in source-pack/.</t>
  </si>
  <si>
    <t xml:space="preserve">Nothing is inferred</t>
  </si>
  <si>
    <t xml:space="preserve">Every NIST and ISO value is copied verbatim from the workbook. Where the workbook holds no data, the cells are blank and the policy is marked UNMAPPED. No control was guessed, derived from a policy's name, or filled in by analogy — that would manufacture audit evidence.</t>
  </si>
  <si>
    <t xml:space="preserve">How rows were matched</t>
  </si>
  <si>
    <t xml:space="preserve">The workbook keys on policy name; the pack keys on filename, and the two have drifted. Matching ran a ladder from strictest to loosest: exact string, then whitespace, then punctuation, then rule-name prefix. Every policy resolved deterministically to exactly one workbook row — no workbook row was used twice, and no similarity/fuzzy matching survived into this output. The method used is recorded per row.</t>
  </si>
  <si>
    <t xml:space="preserve">What ‘UNMAPPED’ means</t>
  </si>
  <si>
    <t xml:space="preserve">The policy deploys correctly. Only its framework documentation is missing, because its workbook row is blank. See the Unmapped Gap tab.</t>
  </si>
  <si>
    <t xml:space="preserve">Two placeholders</t>
  </si>
  <si>
    <t xml:space="preserve">On the Policy x Control tab: ‘(no workbook row)’ = the 24 unmapped policies. ‘(none recorded)’ = the workbook row exists but records a literal ‘-’ instead of a control (15 Edge rows). Neither means ‘no control applies’; both mean ‘nothing was written down’.</t>
  </si>
  <si>
    <t xml:space="preserve">Counts recalculate</t>
  </si>
  <si>
    <t xml:space="preserve">Figures on Summary and Control Coverage are formulas over the data tabs, not typed-in numbers. Fill in the Unmapped Gap tab and re-run the mapping, and the coverage figures move with it.</t>
  </si>
  <si>
    <t xml:space="preserve">Known discrepancy</t>
  </si>
  <si>
    <t xml:space="preserve">“Configure the list of types that are excluded from synchronization” is recorded as L2 in the workbook but the policy file is named CISv3 - EDGE - L1. One of the two is wrong; this workbook reports the workbook's value.</t>
  </si>
  <si>
    <t xml:space="preserve">Generated</t>
  </si>
  <si>
    <t xml:space="preserve">2026-09-09, from the source pack shipped in Intune-Baseline-Toolkit-v2.zip.</t>
  </si>
</sst>
</file>

<file path=xl/styles.xml><?xml version="1.0" encoding="utf-8"?>
<styleSheet xmlns="http://schemas.openxmlformats.org/spreadsheetml/2006/main">
  <numFmts count="3">
    <numFmt numFmtId="164" formatCode="General"/>
    <numFmt numFmtId="165" formatCode="#,##0"/>
    <numFmt numFmtId="166" formatCode="0.0%"/>
  </numFmts>
  <fonts count="25">
    <font>
      <sz val="11"/>
      <color theme="1"/>
      <name val="Calibri"/>
      <family val="2"/>
      <charset val="1"/>
    </font>
    <font>
      <sz val="10"/>
      <name val="Arial"/>
      <family val="0"/>
    </font>
    <font>
      <sz val="10"/>
      <name val="Arial"/>
      <family val="0"/>
    </font>
    <font>
      <sz val="10"/>
      <name val="Arial"/>
      <family val="0"/>
    </font>
    <font>
      <b val="true"/>
      <sz val="16"/>
      <color rgb="FF1B4F72"/>
      <name val="Arial"/>
      <family val="0"/>
      <charset val="1"/>
    </font>
    <font>
      <sz val="9"/>
      <color rgb="FF6B7480"/>
      <name val="Arial"/>
      <family val="0"/>
      <charset val="1"/>
    </font>
    <font>
      <b val="true"/>
      <sz val="10"/>
      <color rgb="FF1B4F72"/>
      <name val="Arial"/>
      <family val="0"/>
      <charset val="1"/>
    </font>
    <font>
      <sz val="10"/>
      <color rgb="FF1F2933"/>
      <name val="Arial"/>
      <family val="0"/>
      <charset val="1"/>
    </font>
    <font>
      <b val="true"/>
      <sz val="12"/>
      <color rgb="FF1B4F72"/>
      <name val="Arial"/>
      <family val="0"/>
      <charset val="1"/>
    </font>
    <font>
      <b val="true"/>
      <sz val="9"/>
      <color rgb="FFFFFFFF"/>
      <name val="Arial"/>
      <family val="0"/>
      <charset val="1"/>
    </font>
    <font>
      <b val="true"/>
      <sz val="10"/>
      <color rgb="FF1F2933"/>
      <name val="Arial"/>
      <family val="0"/>
      <charset val="1"/>
    </font>
    <font>
      <sz val="9"/>
      <color rgb="FF1F2933"/>
      <name val="Arial"/>
      <family val="0"/>
      <charset val="1"/>
    </font>
    <font>
      <b val="true"/>
      <sz val="15"/>
      <color rgb="FF1B4F72"/>
      <name val="Arial"/>
      <family val="0"/>
      <charset val="1"/>
    </font>
    <font>
      <b val="true"/>
      <sz val="9"/>
      <color rgb="FF1F2933"/>
      <name val="Arial"/>
      <family val="0"/>
      <charset val="1"/>
    </font>
    <font>
      <b val="true"/>
      <sz val="8"/>
      <color rgb="FF1F2933"/>
      <name val="Arial"/>
      <family val="0"/>
      <charset val="1"/>
    </font>
    <font>
      <b val="true"/>
      <sz val="11"/>
      <color rgb="FF2C7A57"/>
      <name val="Arial"/>
      <family val="0"/>
      <charset val="1"/>
    </font>
    <font>
      <b val="true"/>
      <sz val="11"/>
      <color rgb="FF95661C"/>
      <name val="Arial"/>
      <family val="0"/>
      <charset val="1"/>
    </font>
    <font>
      <sz val="10"/>
      <name val="Arial"/>
      <family val="2"/>
    </font>
    <font>
      <sz val="9"/>
      <color rgb="FF8C3B2F"/>
      <name val="Arial"/>
      <family val="0"/>
      <charset val="1"/>
    </font>
    <font>
      <i val="true"/>
      <sz val="9"/>
      <color rgb="FF8C3B2F"/>
      <name val="Arial"/>
      <family val="0"/>
      <charset val="1"/>
    </font>
    <font>
      <b val="true"/>
      <sz val="14"/>
      <color rgb="FF1B4F72"/>
      <name val="Arial"/>
      <family val="0"/>
      <charset val="1"/>
    </font>
    <font>
      <i val="true"/>
      <sz val="9"/>
      <color rgb="FF6B7480"/>
      <name val="Arial"/>
      <family val="0"/>
      <charset val="1"/>
    </font>
    <font>
      <sz val="9"/>
      <color rgb="FF0000FF"/>
      <name val="Arial"/>
      <family val="0"/>
      <charset val="1"/>
    </font>
    <font>
      <i val="true"/>
      <sz val="9"/>
      <color rgb="FF0000FF"/>
      <name val="Arial"/>
      <family val="0"/>
      <charset val="1"/>
    </font>
    <font>
      <sz val="9.5"/>
      <color rgb="FF1F2933"/>
      <name val="Arial"/>
      <family val="0"/>
      <charset val="1"/>
    </font>
  </fonts>
  <fills count="13">
    <fill>
      <patternFill patternType="none"/>
    </fill>
    <fill>
      <patternFill patternType="gray125"/>
    </fill>
    <fill>
      <patternFill patternType="solid">
        <fgColor rgb="FF1B4F72"/>
        <bgColor rgb="FF333399"/>
      </patternFill>
    </fill>
    <fill>
      <patternFill patternType="solid">
        <fgColor rgb="FFFDECEA"/>
        <bgColor rgb="FFFDF3DF"/>
      </patternFill>
    </fill>
    <fill>
      <patternFill patternType="solid">
        <fgColor rgb="FFFBE3E0"/>
        <bgColor rgb="FFFDECEA"/>
      </patternFill>
    </fill>
    <fill>
      <patternFill patternType="solid">
        <fgColor rgb="FFE8F4EC"/>
        <bgColor rgb="FFF3F6FB"/>
      </patternFill>
    </fill>
    <fill>
      <patternFill patternType="solid">
        <fgColor rgb="FFFDF3DF"/>
        <bgColor rgb="FFFDF6E3"/>
      </patternFill>
    </fill>
    <fill>
      <patternFill patternType="solid">
        <fgColor rgb="FFF3F6FB"/>
        <bgColor rgb="FFF4F7FA"/>
      </patternFill>
    </fill>
    <fill>
      <patternFill patternType="solid">
        <fgColor rgb="FF2C7A57"/>
        <bgColor rgb="FF008080"/>
      </patternFill>
    </fill>
    <fill>
      <patternFill patternType="solid">
        <fgColor rgb="FF95661C"/>
        <bgColor rgb="FF8C3B2F"/>
      </patternFill>
    </fill>
    <fill>
      <patternFill patternType="solid">
        <fgColor rgb="FFF4F7FA"/>
        <bgColor rgb="FFF3F6FB"/>
      </patternFill>
    </fill>
    <fill>
      <patternFill patternType="solid">
        <fgColor rgb="FFFDF6E3"/>
        <bgColor rgb="FFFDF3DF"/>
      </patternFill>
    </fill>
    <fill>
      <patternFill patternType="solid">
        <fgColor rgb="FFFFF2CC"/>
        <bgColor rgb="FFFDF3DF"/>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fals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4" fontId="14" fillId="6"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false" indent="0" shrinkToFit="false"/>
      <protection locked="true" hidden="false"/>
    </xf>
    <xf numFmtId="164" fontId="13" fillId="7" borderId="1" xfId="0" applyFont="true" applyBorder="true" applyAlignment="true" applyProtection="false">
      <alignment horizontal="center" vertical="top"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general" vertical="center"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general" vertical="center"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3" fillId="10"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1" fillId="1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1" fillId="11" borderId="1" xfId="0" applyFont="true" applyBorder="true" applyAlignment="true" applyProtection="false">
      <alignment horizontal="general" vertical="top" textRotation="0" wrapText="false" indent="0" shrinkToFit="false"/>
      <protection locked="true" hidden="false"/>
    </xf>
    <xf numFmtId="164" fontId="18" fillId="3" borderId="1" xfId="0" applyFont="true" applyBorder="true" applyAlignment="true" applyProtection="false">
      <alignment horizontal="general" vertical="top" textRotation="0" wrapText="fals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3" fillId="10" borderId="1" xfId="0" applyFont="true" applyBorder="true" applyAlignment="true" applyProtection="false">
      <alignment horizontal="general" vertical="top" textRotation="0" wrapText="false" indent="0" shrinkToFit="false"/>
      <protection locked="true" hidden="false"/>
    </xf>
    <xf numFmtId="165" fontId="11" fillId="10" borderId="1" xfId="0" applyFont="true" applyBorder="true" applyAlignment="true" applyProtection="false">
      <alignment horizontal="general" vertical="top" textRotation="0" wrapText="fals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5" fontId="11"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9" fillId="3" borderId="1" xfId="0" applyFont="true" applyBorder="true" applyAlignment="true" applyProtection="false">
      <alignment horizontal="general" vertical="top"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2" fillId="12"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3" fillId="1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4F72"/>
          <bgColor rgb="FF000000"/>
        </patternFill>
      </fill>
    </dxf>
    <dxf>
      <fill>
        <patternFill patternType="solid">
          <bgColor rgb="FF000000"/>
        </patternFill>
      </fill>
    </dxf>
    <dxf>
      <fill>
        <patternFill patternType="solid">
          <fgColor rgb="FF000000"/>
          <bgColor rgb="FF000000"/>
        </patternFill>
      </fill>
    </dxf>
    <dxf>
      <fill>
        <patternFill patternType="solid">
          <fgColor rgb="FF1F2933"/>
          <bgColor rgb="FF000000"/>
        </patternFill>
      </fill>
    </dxf>
    <dxf>
      <fill>
        <patternFill patternType="solid">
          <fgColor rgb="FFFFFFFF"/>
          <bgColor rgb="FF000000"/>
        </patternFill>
      </fill>
    </dxf>
    <dxf>
      <fill>
        <patternFill patternType="solid">
          <fgColor rgb="FFF3F6FB"/>
          <bgColor rgb="FF000000"/>
        </patternFill>
      </fill>
    </dxf>
    <dxf>
      <fill>
        <patternFill patternType="solid">
          <fgColor rgb="FFFBE3E0"/>
          <bgColor rgb="FF000000"/>
        </patternFill>
      </fill>
    </dxf>
    <dxf>
      <fill>
        <patternFill patternType="solid">
          <fgColor rgb="FFFDF3DF"/>
          <bgColor rgb="FF000000"/>
        </patternFill>
      </fill>
    </dxf>
    <dxf>
      <fill>
        <patternFill patternType="solid">
          <fgColor rgb="FFE8F4EC"/>
          <bgColor rgb="FF000000"/>
        </patternFill>
      </fill>
    </dxf>
    <dxf>
      <fill>
        <patternFill patternType="solid">
          <fgColor rgb="FFF4F7FA"/>
          <bgColor rgb="FF000000"/>
        </patternFill>
      </fill>
    </dxf>
    <dxf>
      <fill>
        <patternFill patternType="solid">
          <fgColor rgb="FFFDECEA"/>
          <bgColor rgb="FF000000"/>
        </patternFill>
      </fill>
    </dxf>
    <dxf>
      <fill>
        <patternFill patternType="solid">
          <fgColor rgb="FF8C3B2F"/>
          <bgColor rgb="FF000000"/>
        </patternFill>
      </fill>
    </dxf>
    <dxf>
      <fill>
        <patternFill patternType="solid">
          <fgColor rgb="FFFDF6E3"/>
          <bgColor rgb="FF000000"/>
        </patternFill>
      </fill>
    </dxf>
    <dxf>
      <fill>
        <patternFill patternType="solid">
          <fgColor rgb="FF6B74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5661C"/>
      <rgbColor rgb="FF800080"/>
      <rgbColor rgb="FF008080"/>
      <rgbColor rgb="FFFDECEA"/>
      <rgbColor rgb="FF808080"/>
      <rgbColor rgb="FF9999FF"/>
      <rgbColor rgb="FF993366"/>
      <rgbColor rgb="FFFFF2CC"/>
      <rgbColor rgb="FFE8F4EC"/>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F3F6FB"/>
      <rgbColor rgb="FFF4F7FA"/>
      <rgbColor rgb="FFFDF3DF"/>
      <rgbColor rgb="FFFDF6E3"/>
      <rgbColor rgb="FFFF99CC"/>
      <rgbColor rgb="FFCC99FF"/>
      <rgbColor rgb="FFFBE3E0"/>
      <rgbColor rgb="FF3366FF"/>
      <rgbColor rgb="FF33CCCC"/>
      <rgbColor rgb="FF99CC00"/>
      <rgbColor rgb="FFFFCC00"/>
      <rgbColor rgb="FFFF9900"/>
      <rgbColor rgb="FFFF6600"/>
      <rgbColor rgb="FF6B7480"/>
      <rgbColor rgb="FF969696"/>
      <rgbColor rgb="FF1B4F72"/>
      <rgbColor rgb="FF2C7A57"/>
      <rgbColor rgb="FF003300"/>
      <rgbColor rgb="FF333300"/>
      <rgbColor rgb="FF8C3B2F"/>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96"/>
  </cols>
  <sheetData>
    <row r="1" customFormat="false" ht="21.75" hidden="false" customHeight="true" outlineLevel="0" collapsed="false">
      <c r="A1" s="1" t="s">
        <v>0</v>
      </c>
    </row>
    <row r="2" customFormat="false" ht="13.5" hidden="false" customHeight="true" outlineLevel="0" collapsed="false">
      <c r="A2" s="2" t="s">
        <v>1</v>
      </c>
    </row>
    <row r="3" customFormat="false" ht="13.5" hidden="false" customHeight="true" outlineLevel="0" collapsed="false">
      <c r="A3" s="2" t="s">
        <v>2</v>
      </c>
    </row>
    <row r="5" customFormat="false" ht="15" hidden="false" customHeight="false" outlineLevel="0" collapsed="false">
      <c r="A5" s="3" t="s">
        <v>3</v>
      </c>
    </row>
    <row r="6" customFormat="false" ht="15" hidden="false" customHeight="false" outlineLevel="0" collapsed="false">
      <c r="A6" s="4" t="s">
        <v>4</v>
      </c>
      <c r="B6" s="5" t="n">
        <f aca="false">COUNTA('Policy Mapping'!A2:A223)</f>
        <v>222</v>
      </c>
      <c r="C6" s="2" t="s">
        <v>5</v>
      </c>
    </row>
    <row r="7" customFormat="false" ht="15" hidden="false" customHeight="false" outlineLevel="0" collapsed="false">
      <c r="A7" s="4" t="s">
        <v>6</v>
      </c>
      <c r="B7" s="5" t="n">
        <f aca="false">COUNTIF('Policy Mapping'!N2:N223,"mapped")</f>
        <v>198</v>
      </c>
      <c r="C7" s="2" t="s">
        <v>7</v>
      </c>
    </row>
    <row r="8" customFormat="false" ht="15" hidden="false" customHeight="false" outlineLevel="0" collapsed="false">
      <c r="A8" s="4" t="s">
        <v>8</v>
      </c>
      <c r="B8" s="5" t="n">
        <f aca="false">COUNTIF('Policy Mapping'!N2:N223,"&lt;&gt;mapped")</f>
        <v>24</v>
      </c>
      <c r="C8" s="2" t="s">
        <v>9</v>
      </c>
    </row>
    <row r="9" customFormat="false" ht="15" hidden="false" customHeight="false" outlineLevel="0" collapsed="false">
      <c r="A9" s="4" t="s">
        <v>10</v>
      </c>
      <c r="B9" s="6" t="n">
        <f aca="false">IF(B6=0,0,B7/B6)</f>
        <v>0.891891891891892</v>
      </c>
      <c r="C9" s="2" t="s">
        <v>11</v>
      </c>
    </row>
    <row r="10" customFormat="false" ht="15" hidden="false" customHeight="false" outlineLevel="0" collapsed="false">
      <c r="A10" s="4" t="s">
        <v>12</v>
      </c>
      <c r="B10" s="5" t="n">
        <f aca="false">SUMPRODUCT(('Control Coverage'!A2:A48="NIST SP 800-53 Rev 5")*1)</f>
        <v>31</v>
      </c>
      <c r="C10" s="2" t="s">
        <v>13</v>
      </c>
    </row>
    <row r="11" customFormat="false" ht="15" hidden="false" customHeight="false" outlineLevel="0" collapsed="false">
      <c r="A11" s="4" t="s">
        <v>14</v>
      </c>
      <c r="B11" s="5" t="n">
        <f aca="false">SUMPRODUCT(('Control Coverage'!A2:A48="ISO/IEC 27001:2022")*1)</f>
        <v>16</v>
      </c>
      <c r="C11" s="2" t="s">
        <v>15</v>
      </c>
    </row>
    <row r="13" customFormat="false" ht="15" hidden="false" customHeight="false" outlineLevel="0" collapsed="false">
      <c r="A13" s="3" t="s">
        <v>16</v>
      </c>
    </row>
    <row r="14" customFormat="false" ht="15" hidden="false" customHeight="false" outlineLevel="0" collapsed="false">
      <c r="A14" s="2" t="s">
        <v>17</v>
      </c>
    </row>
    <row r="15" customFormat="false" ht="30" hidden="false" customHeight="true" outlineLevel="0" collapsed="false">
      <c r="A15" s="7" t="s">
        <v>18</v>
      </c>
      <c r="B15" s="7" t="s">
        <v>19</v>
      </c>
      <c r="C15" s="7" t="s">
        <v>20</v>
      </c>
    </row>
    <row r="16" customFormat="false" ht="25.5" hidden="false" customHeight="true" outlineLevel="0" collapsed="false">
      <c r="A16" s="8" t="s">
        <v>21</v>
      </c>
      <c r="B16" s="9" t="n">
        <f aca="false">COUNTIF('Policy Mapping'!O2:O223,"exact")</f>
        <v>164</v>
      </c>
      <c r="C16" s="10" t="s">
        <v>22</v>
      </c>
    </row>
    <row r="17" customFormat="false" ht="25.5" hidden="false" customHeight="true" outlineLevel="0" collapsed="false">
      <c r="A17" s="8" t="s">
        <v>23</v>
      </c>
      <c r="B17" s="9" t="n">
        <f aca="false">COUNTIF('Policy Mapping'!O2:O223,"punctuation")</f>
        <v>14</v>
      </c>
      <c r="C17" s="10" t="s">
        <v>24</v>
      </c>
    </row>
    <row r="18" customFormat="false" ht="25.5" hidden="false" customHeight="true" outlineLevel="0" collapsed="false">
      <c r="A18" s="8" t="s">
        <v>25</v>
      </c>
      <c r="B18" s="9" t="n">
        <f aca="false">COUNTIF('Policy Mapping'!O2:O223,"whitespace")</f>
        <v>10</v>
      </c>
      <c r="C18" s="10" t="s">
        <v>26</v>
      </c>
    </row>
    <row r="19" customFormat="false" ht="25.5" hidden="false" customHeight="true" outlineLevel="0" collapsed="false">
      <c r="A19" s="8" t="s">
        <v>27</v>
      </c>
      <c r="B19" s="9" t="n">
        <f aca="false">COUNTIF('Policy Mapping'!O2:O223,"prefix")</f>
        <v>10</v>
      </c>
      <c r="C19" s="10" t="s">
        <v>28</v>
      </c>
    </row>
    <row r="20" customFormat="false" ht="25.5" hidden="false" customHeight="true" outlineLevel="0" collapsed="false">
      <c r="A20" s="11" t="s">
        <v>29</v>
      </c>
      <c r="B20" s="12" t="n">
        <f aca="false">COUNTIF('Policy Mapping'!O2:O223,"unmapped")</f>
        <v>24</v>
      </c>
      <c r="C20" s="13" t="s">
        <v>30</v>
      </c>
    </row>
    <row r="23" customFormat="false" ht="15" hidden="false" customHeight="false" outlineLevel="0" collapsed="false">
      <c r="A23" s="3" t="s">
        <v>31</v>
      </c>
    </row>
    <row r="24" customFormat="false" ht="31.5" hidden="false" customHeight="true" outlineLevel="0" collapsed="false">
      <c r="A24" s="14" t="s">
        <v>32</v>
      </c>
      <c r="B24" s="14"/>
      <c r="C24" s="14"/>
    </row>
    <row r="25" customFormat="false" ht="31.5" hidden="false" customHeight="true" outlineLevel="0" collapsed="false">
      <c r="A25" s="14" t="s">
        <v>33</v>
      </c>
      <c r="B25" s="14"/>
      <c r="C25" s="14"/>
    </row>
    <row r="26" customFormat="false" ht="31.5" hidden="false" customHeight="true" outlineLevel="0" collapsed="false">
      <c r="A26" s="14" t="s">
        <v>34</v>
      </c>
      <c r="B26" s="14"/>
      <c r="C26" s="14"/>
    </row>
    <row r="27" customFormat="false" ht="31.5" hidden="false" customHeight="true" outlineLevel="0" collapsed="false">
      <c r="A27" s="14" t="s">
        <v>35</v>
      </c>
      <c r="B27" s="14"/>
      <c r="C27" s="14"/>
    </row>
  </sheetData>
  <mergeCells count="4">
    <mergeCell ref="A24:C24"/>
    <mergeCell ref="A25:C25"/>
    <mergeCell ref="A26:C26"/>
    <mergeCell ref="A27:C27"/>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&amp;LSummary&amp;R&amp;P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20"/>
    <col collapsed="false" customWidth="true" hidden="false" outlineLevel="0" max="4" min="4" style="0" width="12"/>
    <col collapsed="false" customWidth="true" hidden="false" outlineLevel="0" max="5" min="5" style="0" width="56"/>
    <col collapsed="false" customWidth="true" hidden="false" outlineLevel="0" max="6" min="6" style="0" width="44"/>
    <col collapsed="false" customWidth="true" hidden="false" outlineLevel="0" max="7" min="7" style="0" width="14"/>
    <col collapsed="false" customWidth="true" hidden="false" outlineLevel="0" max="8" min="8" style="0" width="50"/>
    <col collapsed="false" customWidth="true" hidden="false" outlineLevel="0" max="9" min="9" style="0" width="24"/>
    <col collapsed="false" customWidth="true" hidden="false" outlineLevel="0" max="10" min="10" style="0" width="52"/>
    <col collapsed="false" customWidth="true" hidden="false" outlineLevel="0" max="11" min="11" style="0" width="40"/>
  </cols>
  <sheetData>
    <row r="1" customFormat="false" ht="18.55" hidden="false" customHeight="false" outlineLevel="0" collapsed="false">
      <c r="A1" s="15" t="s">
        <v>36</v>
      </c>
    </row>
    <row r="2" customFormat="false" ht="33.75" hidden="false" customHeight="true" outlineLevel="0" collapsed="false">
      <c r="A2" s="16" t="s">
        <v>37</v>
      </c>
      <c r="B2" s="16"/>
      <c r="C2" s="16"/>
      <c r="D2" s="16"/>
      <c r="E2" s="16"/>
      <c r="F2" s="16"/>
      <c r="G2" s="16"/>
      <c r="H2" s="16"/>
      <c r="I2" s="16"/>
      <c r="J2" s="16"/>
    </row>
    <row r="4" customFormat="false" ht="30" hidden="false" customHeight="true" outlineLevel="0" collapsed="false">
      <c r="A4" s="17" t="s">
        <v>38</v>
      </c>
      <c r="B4" s="17" t="s">
        <v>39</v>
      </c>
      <c r="C4" s="17" t="s">
        <v>40</v>
      </c>
      <c r="D4" s="17" t="s">
        <v>41</v>
      </c>
      <c r="E4" s="17" t="s">
        <v>42</v>
      </c>
      <c r="F4" s="17" t="s">
        <v>43</v>
      </c>
      <c r="G4" s="17" t="s">
        <v>44</v>
      </c>
      <c r="H4" s="17" t="s">
        <v>45</v>
      </c>
      <c r="I4" s="17" t="s">
        <v>46</v>
      </c>
      <c r="J4" s="17" t="s">
        <v>47</v>
      </c>
      <c r="K4" s="17" t="s">
        <v>48</v>
      </c>
    </row>
    <row r="5" customFormat="false" ht="73.5" hidden="false" customHeight="true" outlineLevel="0" collapsed="false">
      <c r="A5" s="18" t="s">
        <v>49</v>
      </c>
      <c r="B5" s="10" t="s">
        <v>50</v>
      </c>
      <c r="C5" s="10" t="s">
        <v>51</v>
      </c>
      <c r="D5" s="19" t="s">
        <v>52</v>
      </c>
      <c r="E5" s="10" t="s">
        <v>53</v>
      </c>
      <c r="F5" s="10" t="s">
        <v>54</v>
      </c>
      <c r="G5" s="20" t="s">
        <v>55</v>
      </c>
      <c r="H5" s="10" t="s">
        <v>56</v>
      </c>
      <c r="I5" s="10" t="s">
        <v>57</v>
      </c>
      <c r="J5" s="10" t="s">
        <v>58</v>
      </c>
      <c r="K5" s="10" t="s">
        <v>59</v>
      </c>
    </row>
    <row r="6" customFormat="false" ht="73.5" hidden="false" customHeight="true" outlineLevel="0" collapsed="false">
      <c r="A6" s="18" t="s">
        <v>60</v>
      </c>
      <c r="B6" s="10" t="s">
        <v>61</v>
      </c>
      <c r="C6" s="10" t="s">
        <v>62</v>
      </c>
      <c r="D6" s="19" t="s">
        <v>52</v>
      </c>
      <c r="E6" s="10" t="s">
        <v>63</v>
      </c>
      <c r="F6" s="10" t="s">
        <v>64</v>
      </c>
      <c r="G6" s="20" t="s">
        <v>55</v>
      </c>
      <c r="H6" s="10" t="s">
        <v>65</v>
      </c>
      <c r="I6" s="10" t="s">
        <v>66</v>
      </c>
      <c r="J6" s="10" t="s">
        <v>67</v>
      </c>
      <c r="K6" s="10" t="s">
        <v>59</v>
      </c>
    </row>
    <row r="7" customFormat="false" ht="73.5" hidden="false" customHeight="true" outlineLevel="0" collapsed="false">
      <c r="A7" s="18" t="s">
        <v>68</v>
      </c>
      <c r="B7" s="10" t="s">
        <v>69</v>
      </c>
      <c r="C7" s="10" t="s">
        <v>70</v>
      </c>
      <c r="D7" s="19" t="s">
        <v>52</v>
      </c>
      <c r="E7" s="10" t="s">
        <v>71</v>
      </c>
      <c r="F7" s="10" t="s">
        <v>72</v>
      </c>
      <c r="G7" s="20" t="s">
        <v>55</v>
      </c>
      <c r="H7" s="10" t="s">
        <v>73</v>
      </c>
      <c r="I7" s="10" t="s">
        <v>74</v>
      </c>
      <c r="J7" s="10" t="s">
        <v>75</v>
      </c>
      <c r="K7" s="10" t="s">
        <v>59</v>
      </c>
    </row>
    <row r="8" customFormat="false" ht="73.5" hidden="false" customHeight="true" outlineLevel="0" collapsed="false">
      <c r="A8" s="18" t="s">
        <v>76</v>
      </c>
      <c r="B8" s="10" t="s">
        <v>77</v>
      </c>
      <c r="C8" s="10" t="s">
        <v>78</v>
      </c>
      <c r="D8" s="19" t="s">
        <v>52</v>
      </c>
      <c r="E8" s="10" t="s">
        <v>79</v>
      </c>
      <c r="F8" s="10" t="s">
        <v>80</v>
      </c>
      <c r="G8" s="21" t="s">
        <v>81</v>
      </c>
      <c r="H8" s="10" t="s">
        <v>82</v>
      </c>
      <c r="I8" s="10" t="s">
        <v>83</v>
      </c>
      <c r="J8" s="10" t="s">
        <v>84</v>
      </c>
      <c r="K8" s="10" t="s">
        <v>85</v>
      </c>
    </row>
    <row r="9" customFormat="false" ht="39.75" hidden="false" customHeight="true" outlineLevel="0" collapsed="false">
      <c r="A9" s="18"/>
      <c r="B9" s="18"/>
      <c r="C9" s="18"/>
      <c r="D9" s="18"/>
      <c r="E9" s="18"/>
      <c r="F9" s="10" t="s">
        <v>86</v>
      </c>
      <c r="G9" s="21" t="s">
        <v>81</v>
      </c>
      <c r="H9" s="10" t="s">
        <v>87</v>
      </c>
      <c r="I9" s="10"/>
      <c r="J9" s="10"/>
      <c r="K9" s="10"/>
    </row>
    <row r="10" customFormat="false" ht="73.5" hidden="false" customHeight="true" outlineLevel="0" collapsed="false">
      <c r="A10" s="18" t="s">
        <v>88</v>
      </c>
      <c r="B10" s="10" t="s">
        <v>89</v>
      </c>
      <c r="C10" s="10" t="s">
        <v>90</v>
      </c>
      <c r="D10" s="19" t="s">
        <v>52</v>
      </c>
      <c r="E10" s="10" t="s">
        <v>91</v>
      </c>
      <c r="F10" s="10" t="s">
        <v>92</v>
      </c>
      <c r="G10" s="21" t="s">
        <v>81</v>
      </c>
      <c r="H10" s="10" t="s">
        <v>93</v>
      </c>
      <c r="I10" s="10" t="s">
        <v>94</v>
      </c>
      <c r="J10" s="10" t="s">
        <v>95</v>
      </c>
      <c r="K10" s="10" t="s">
        <v>96</v>
      </c>
    </row>
    <row r="11" customFormat="false" ht="73.5" hidden="false" customHeight="true" outlineLevel="0" collapsed="false">
      <c r="A11" s="18" t="s">
        <v>97</v>
      </c>
      <c r="B11" s="10" t="s">
        <v>98</v>
      </c>
      <c r="C11" s="10" t="s">
        <v>78</v>
      </c>
      <c r="D11" s="19" t="s">
        <v>52</v>
      </c>
      <c r="E11" s="10" t="s">
        <v>99</v>
      </c>
      <c r="F11" s="10" t="s">
        <v>100</v>
      </c>
      <c r="G11" s="20" t="s">
        <v>55</v>
      </c>
      <c r="H11" s="10" t="s">
        <v>101</v>
      </c>
      <c r="I11" s="10" t="s">
        <v>102</v>
      </c>
      <c r="J11" s="10" t="s">
        <v>103</v>
      </c>
      <c r="K11" s="10" t="s">
        <v>104</v>
      </c>
    </row>
    <row r="12" customFormat="false" ht="39.75" hidden="false" customHeight="true" outlineLevel="0" collapsed="false">
      <c r="A12" s="18"/>
      <c r="B12" s="18"/>
      <c r="C12" s="18"/>
      <c r="D12" s="18"/>
      <c r="E12" s="18"/>
      <c r="F12" s="10" t="s">
        <v>105</v>
      </c>
      <c r="G12" s="20" t="s">
        <v>55</v>
      </c>
      <c r="H12" s="10" t="s">
        <v>106</v>
      </c>
      <c r="I12" s="10"/>
      <c r="J12" s="10"/>
      <c r="K12" s="10"/>
    </row>
    <row r="13" customFormat="false" ht="73.5" hidden="false" customHeight="true" outlineLevel="0" collapsed="false">
      <c r="A13" s="18" t="s">
        <v>107</v>
      </c>
      <c r="B13" s="10" t="s">
        <v>108</v>
      </c>
      <c r="C13" s="10" t="s">
        <v>70</v>
      </c>
      <c r="D13" s="19" t="s">
        <v>52</v>
      </c>
      <c r="E13" s="10" t="s">
        <v>109</v>
      </c>
      <c r="F13" s="10" t="s">
        <v>110</v>
      </c>
      <c r="G13" s="20" t="s">
        <v>55</v>
      </c>
      <c r="H13" s="10" t="s">
        <v>111</v>
      </c>
      <c r="I13" s="10" t="s">
        <v>112</v>
      </c>
      <c r="J13" s="10" t="s">
        <v>113</v>
      </c>
      <c r="K13" s="10" t="s">
        <v>114</v>
      </c>
    </row>
    <row r="14" customFormat="false" ht="73.5" hidden="false" customHeight="true" outlineLevel="0" collapsed="false">
      <c r="A14" s="18" t="s">
        <v>115</v>
      </c>
      <c r="B14" s="10" t="s">
        <v>116</v>
      </c>
      <c r="C14" s="10" t="s">
        <v>117</v>
      </c>
      <c r="D14" s="19" t="s">
        <v>52</v>
      </c>
      <c r="E14" s="10" t="s">
        <v>118</v>
      </c>
      <c r="F14" s="10" t="s">
        <v>119</v>
      </c>
      <c r="G14" s="22" t="s">
        <v>120</v>
      </c>
      <c r="H14" s="10" t="s">
        <v>121</v>
      </c>
      <c r="I14" s="10" t="s">
        <v>122</v>
      </c>
      <c r="J14" s="10" t="s">
        <v>123</v>
      </c>
      <c r="K14" s="10" t="s">
        <v>124</v>
      </c>
    </row>
    <row r="15" customFormat="false" ht="73.5" hidden="false" customHeight="true" outlineLevel="0" collapsed="false">
      <c r="A15" s="18" t="s">
        <v>125</v>
      </c>
      <c r="B15" s="10" t="s">
        <v>126</v>
      </c>
      <c r="C15" s="10" t="s">
        <v>78</v>
      </c>
      <c r="D15" s="19" t="s">
        <v>52</v>
      </c>
      <c r="E15" s="10" t="s">
        <v>127</v>
      </c>
      <c r="F15" s="10" t="s">
        <v>128</v>
      </c>
      <c r="G15" s="20" t="s">
        <v>55</v>
      </c>
      <c r="H15" s="10" t="s">
        <v>129</v>
      </c>
      <c r="I15" s="10" t="s">
        <v>130</v>
      </c>
      <c r="J15" s="10" t="s">
        <v>131</v>
      </c>
      <c r="K15" s="10" t="s">
        <v>132</v>
      </c>
    </row>
    <row r="16" customFormat="false" ht="39.75" hidden="false" customHeight="true" outlineLevel="0" collapsed="false">
      <c r="A16" s="18"/>
      <c r="B16" s="18"/>
      <c r="C16" s="18"/>
      <c r="D16" s="18"/>
      <c r="E16" s="18"/>
      <c r="F16" s="10" t="s">
        <v>133</v>
      </c>
      <c r="G16" s="21" t="s">
        <v>81</v>
      </c>
      <c r="H16" s="10" t="s">
        <v>134</v>
      </c>
      <c r="I16" s="10"/>
      <c r="J16" s="10"/>
      <c r="K16" s="10"/>
    </row>
    <row r="17" customFormat="false" ht="73.5" hidden="false" customHeight="true" outlineLevel="0" collapsed="false">
      <c r="A17" s="18" t="s">
        <v>135</v>
      </c>
      <c r="B17" s="10" t="s">
        <v>136</v>
      </c>
      <c r="C17" s="10" t="s">
        <v>62</v>
      </c>
      <c r="D17" s="19" t="s">
        <v>52</v>
      </c>
      <c r="E17" s="10" t="s">
        <v>137</v>
      </c>
      <c r="F17" s="10" t="s">
        <v>138</v>
      </c>
      <c r="G17" s="20" t="s">
        <v>55</v>
      </c>
      <c r="H17" s="10" t="s">
        <v>139</v>
      </c>
      <c r="I17" s="10" t="s">
        <v>140</v>
      </c>
      <c r="J17" s="10" t="s">
        <v>141</v>
      </c>
      <c r="K17" s="10" t="s">
        <v>142</v>
      </c>
    </row>
    <row r="18" customFormat="false" ht="73.5" hidden="false" customHeight="true" outlineLevel="0" collapsed="false">
      <c r="A18" s="18" t="s">
        <v>143</v>
      </c>
      <c r="B18" s="10" t="s">
        <v>144</v>
      </c>
      <c r="C18" s="10" t="s">
        <v>145</v>
      </c>
      <c r="D18" s="23" t="s">
        <v>146</v>
      </c>
      <c r="E18" s="10" t="s">
        <v>147</v>
      </c>
      <c r="F18" s="10" t="s">
        <v>148</v>
      </c>
      <c r="G18" s="20" t="s">
        <v>55</v>
      </c>
      <c r="H18" s="10" t="s">
        <v>149</v>
      </c>
      <c r="I18" s="10" t="s">
        <v>150</v>
      </c>
      <c r="J18" s="10" t="s">
        <v>151</v>
      </c>
      <c r="K18" s="10" t="s">
        <v>152</v>
      </c>
    </row>
    <row r="19" customFormat="false" ht="73.5" hidden="false" customHeight="true" outlineLevel="0" collapsed="false">
      <c r="A19" s="18" t="s">
        <v>153</v>
      </c>
      <c r="B19" s="10" t="s">
        <v>154</v>
      </c>
      <c r="C19" s="10" t="s">
        <v>155</v>
      </c>
      <c r="D19" s="23" t="s">
        <v>146</v>
      </c>
      <c r="E19" s="10" t="s">
        <v>156</v>
      </c>
      <c r="F19" s="10" t="s">
        <v>157</v>
      </c>
      <c r="G19" s="21" t="s">
        <v>81</v>
      </c>
      <c r="H19" s="10" t="s">
        <v>158</v>
      </c>
      <c r="I19" s="10" t="s">
        <v>159</v>
      </c>
      <c r="J19" s="10" t="s">
        <v>160</v>
      </c>
      <c r="K19" s="10" t="s">
        <v>161</v>
      </c>
    </row>
    <row r="20" customFormat="false" ht="73.5" hidden="false" customHeight="true" outlineLevel="0" collapsed="false">
      <c r="A20" s="18" t="s">
        <v>162</v>
      </c>
      <c r="B20" s="10" t="s">
        <v>163</v>
      </c>
      <c r="C20" s="10" t="s">
        <v>164</v>
      </c>
      <c r="D20" s="23" t="s">
        <v>146</v>
      </c>
      <c r="E20" s="10" t="s">
        <v>165</v>
      </c>
      <c r="F20" s="10" t="s">
        <v>166</v>
      </c>
      <c r="G20" s="21" t="s">
        <v>81</v>
      </c>
      <c r="H20" s="10" t="s">
        <v>167</v>
      </c>
      <c r="I20" s="10" t="s">
        <v>168</v>
      </c>
      <c r="J20" s="10" t="s">
        <v>169</v>
      </c>
      <c r="K20" s="10" t="s">
        <v>170</v>
      </c>
    </row>
    <row r="21" customFormat="false" ht="73.5" hidden="false" customHeight="true" outlineLevel="0" collapsed="false">
      <c r="A21" s="18" t="s">
        <v>171</v>
      </c>
      <c r="B21" s="10" t="s">
        <v>172</v>
      </c>
      <c r="C21" s="10" t="s">
        <v>145</v>
      </c>
      <c r="D21" s="23" t="s">
        <v>146</v>
      </c>
      <c r="E21" s="10" t="s">
        <v>173</v>
      </c>
      <c r="F21" s="10" t="s">
        <v>174</v>
      </c>
      <c r="G21" s="21" t="s">
        <v>81</v>
      </c>
      <c r="H21" s="10" t="s">
        <v>175</v>
      </c>
      <c r="I21" s="10" t="s">
        <v>176</v>
      </c>
      <c r="J21" s="10" t="s">
        <v>177</v>
      </c>
      <c r="K21" s="10" t="s">
        <v>178</v>
      </c>
    </row>
    <row r="22" customFormat="false" ht="73.5" hidden="false" customHeight="true" outlineLevel="0" collapsed="false">
      <c r="A22" s="18" t="s">
        <v>179</v>
      </c>
      <c r="B22" s="10" t="s">
        <v>180</v>
      </c>
      <c r="C22" s="10" t="s">
        <v>164</v>
      </c>
      <c r="D22" s="23" t="s">
        <v>146</v>
      </c>
      <c r="E22" s="10" t="s">
        <v>181</v>
      </c>
      <c r="F22" s="10" t="s">
        <v>182</v>
      </c>
      <c r="G22" s="20" t="s">
        <v>55</v>
      </c>
      <c r="H22" s="10" t="s">
        <v>183</v>
      </c>
      <c r="I22" s="10" t="s">
        <v>184</v>
      </c>
      <c r="J22" s="10" t="s">
        <v>185</v>
      </c>
      <c r="K22" s="10" t="s">
        <v>186</v>
      </c>
    </row>
    <row r="23" customFormat="false" ht="73.5" hidden="false" customHeight="true" outlineLevel="0" collapsed="false">
      <c r="A23" s="18" t="s">
        <v>187</v>
      </c>
      <c r="B23" s="10" t="s">
        <v>188</v>
      </c>
      <c r="C23" s="10" t="s">
        <v>189</v>
      </c>
      <c r="D23" s="23" t="s">
        <v>146</v>
      </c>
      <c r="E23" s="10" t="s">
        <v>190</v>
      </c>
      <c r="F23" s="10" t="s">
        <v>191</v>
      </c>
      <c r="G23" s="20" t="s">
        <v>55</v>
      </c>
      <c r="H23" s="10" t="s">
        <v>192</v>
      </c>
      <c r="I23" s="10" t="s">
        <v>193</v>
      </c>
      <c r="J23" s="10" t="s">
        <v>194</v>
      </c>
      <c r="K23" s="10" t="s">
        <v>195</v>
      </c>
    </row>
    <row r="24" customFormat="false" ht="39.75" hidden="false" customHeight="true" outlineLevel="0" collapsed="false">
      <c r="A24" s="18"/>
      <c r="B24" s="18"/>
      <c r="C24" s="18"/>
      <c r="D24" s="18"/>
      <c r="E24" s="18"/>
      <c r="F24" s="10" t="s">
        <v>196</v>
      </c>
      <c r="G24" s="20" t="s">
        <v>55</v>
      </c>
      <c r="H24" s="10" t="s">
        <v>197</v>
      </c>
      <c r="I24" s="10"/>
      <c r="J24" s="10"/>
      <c r="K24" s="10"/>
    </row>
    <row r="25" customFormat="false" ht="73.5" hidden="false" customHeight="true" outlineLevel="0" collapsed="false">
      <c r="A25" s="18" t="s">
        <v>198</v>
      </c>
      <c r="B25" s="10" t="s">
        <v>199</v>
      </c>
      <c r="C25" s="10" t="s">
        <v>200</v>
      </c>
      <c r="D25" s="23" t="s">
        <v>146</v>
      </c>
      <c r="E25" s="10" t="s">
        <v>201</v>
      </c>
      <c r="F25" s="10" t="s">
        <v>202</v>
      </c>
      <c r="G25" s="21" t="s">
        <v>81</v>
      </c>
      <c r="H25" s="10" t="s">
        <v>203</v>
      </c>
      <c r="I25" s="10" t="s">
        <v>204</v>
      </c>
      <c r="J25" s="10" t="s">
        <v>205</v>
      </c>
      <c r="K25" s="10" t="s">
        <v>206</v>
      </c>
    </row>
    <row r="26" customFormat="false" ht="73.5" hidden="false" customHeight="true" outlineLevel="0" collapsed="false">
      <c r="A26" s="18" t="s">
        <v>207</v>
      </c>
      <c r="B26" s="10" t="s">
        <v>208</v>
      </c>
      <c r="C26" s="10" t="s">
        <v>62</v>
      </c>
      <c r="D26" s="23" t="s">
        <v>146</v>
      </c>
      <c r="E26" s="10" t="s">
        <v>209</v>
      </c>
      <c r="F26" s="10" t="s">
        <v>210</v>
      </c>
      <c r="G26" s="20" t="s">
        <v>55</v>
      </c>
      <c r="H26" s="10" t="s">
        <v>211</v>
      </c>
      <c r="I26" s="10" t="s">
        <v>212</v>
      </c>
      <c r="J26" s="10" t="s">
        <v>213</v>
      </c>
      <c r="K26" s="10" t="s">
        <v>214</v>
      </c>
    </row>
    <row r="27" customFormat="false" ht="73.5" hidden="false" customHeight="true" outlineLevel="0" collapsed="false">
      <c r="A27" s="18" t="s">
        <v>215</v>
      </c>
      <c r="B27" s="10" t="s">
        <v>216</v>
      </c>
      <c r="C27" s="10" t="s">
        <v>217</v>
      </c>
      <c r="D27" s="23" t="s">
        <v>146</v>
      </c>
      <c r="E27" s="10" t="s">
        <v>218</v>
      </c>
      <c r="F27" s="10" t="s">
        <v>219</v>
      </c>
      <c r="G27" s="20" t="s">
        <v>55</v>
      </c>
      <c r="H27" s="10" t="s">
        <v>220</v>
      </c>
      <c r="I27" s="10" t="s">
        <v>221</v>
      </c>
      <c r="J27" s="10" t="s">
        <v>222</v>
      </c>
      <c r="K27" s="10" t="s">
        <v>223</v>
      </c>
    </row>
    <row r="28" customFormat="false" ht="73.5" hidden="false" customHeight="true" outlineLevel="0" collapsed="false">
      <c r="A28" s="18" t="s">
        <v>224</v>
      </c>
      <c r="B28" s="10" t="s">
        <v>225</v>
      </c>
      <c r="C28" s="10" t="s">
        <v>70</v>
      </c>
      <c r="D28" s="23" t="s">
        <v>146</v>
      </c>
      <c r="E28" s="10" t="s">
        <v>226</v>
      </c>
      <c r="F28" s="10" t="s">
        <v>227</v>
      </c>
      <c r="G28" s="20" t="s">
        <v>55</v>
      </c>
      <c r="H28" s="10" t="s">
        <v>228</v>
      </c>
      <c r="I28" s="10" t="s">
        <v>229</v>
      </c>
      <c r="J28" s="10" t="s">
        <v>230</v>
      </c>
      <c r="K28" s="10" t="s">
        <v>231</v>
      </c>
    </row>
    <row r="29" customFormat="false" ht="39.75" hidden="false" customHeight="true" outlineLevel="0" collapsed="false">
      <c r="A29" s="18"/>
      <c r="B29" s="18"/>
      <c r="C29" s="18"/>
      <c r="D29" s="18"/>
      <c r="E29" s="18"/>
      <c r="F29" s="10" t="s">
        <v>232</v>
      </c>
      <c r="G29" s="20" t="s">
        <v>55</v>
      </c>
      <c r="H29" s="10" t="s">
        <v>233</v>
      </c>
      <c r="I29" s="10"/>
      <c r="J29" s="10"/>
      <c r="K29" s="10"/>
    </row>
    <row r="30" customFormat="false" ht="73.5" hidden="false" customHeight="true" outlineLevel="0" collapsed="false">
      <c r="A30" s="18" t="s">
        <v>234</v>
      </c>
      <c r="B30" s="10" t="s">
        <v>235</v>
      </c>
      <c r="C30" s="10" t="s">
        <v>78</v>
      </c>
      <c r="D30" s="24" t="s">
        <v>236</v>
      </c>
      <c r="E30" s="10" t="s">
        <v>237</v>
      </c>
      <c r="F30" s="10" t="s">
        <v>238</v>
      </c>
      <c r="G30" s="20" t="s">
        <v>239</v>
      </c>
      <c r="H30" s="10" t="s">
        <v>240</v>
      </c>
      <c r="I30" s="10" t="s">
        <v>241</v>
      </c>
      <c r="J30" s="10" t="s">
        <v>242</v>
      </c>
      <c r="K30" s="10" t="s">
        <v>243</v>
      </c>
    </row>
    <row r="31" customFormat="false" ht="73.5" hidden="false" customHeight="true" outlineLevel="0" collapsed="false">
      <c r="A31" s="18" t="s">
        <v>244</v>
      </c>
      <c r="B31" s="10" t="s">
        <v>245</v>
      </c>
      <c r="C31" s="10" t="s">
        <v>200</v>
      </c>
      <c r="D31" s="24" t="s">
        <v>236</v>
      </c>
      <c r="E31" s="10" t="s">
        <v>246</v>
      </c>
      <c r="F31" s="10" t="s">
        <v>247</v>
      </c>
      <c r="G31" s="20" t="s">
        <v>55</v>
      </c>
      <c r="H31" s="10" t="s">
        <v>248</v>
      </c>
      <c r="I31" s="10" t="s">
        <v>249</v>
      </c>
      <c r="J31" s="10" t="s">
        <v>250</v>
      </c>
      <c r="K31" s="10" t="s">
        <v>251</v>
      </c>
    </row>
    <row r="32" customFormat="false" ht="73.5" hidden="false" customHeight="true" outlineLevel="0" collapsed="false">
      <c r="A32" s="18" t="s">
        <v>252</v>
      </c>
      <c r="B32" s="10" t="s">
        <v>253</v>
      </c>
      <c r="C32" s="10" t="s">
        <v>189</v>
      </c>
      <c r="D32" s="24" t="s">
        <v>236</v>
      </c>
      <c r="E32" s="10" t="s">
        <v>254</v>
      </c>
      <c r="F32" s="10" t="s">
        <v>255</v>
      </c>
      <c r="G32" s="20" t="s">
        <v>55</v>
      </c>
      <c r="H32" s="10" t="s">
        <v>256</v>
      </c>
      <c r="I32" s="10" t="s">
        <v>257</v>
      </c>
      <c r="J32" s="10" t="s">
        <v>258</v>
      </c>
      <c r="K32" s="10" t="s">
        <v>259</v>
      </c>
    </row>
    <row r="33" customFormat="false" ht="73.5" hidden="false" customHeight="true" outlineLevel="0" collapsed="false">
      <c r="A33" s="18" t="s">
        <v>260</v>
      </c>
      <c r="B33" s="10" t="s">
        <v>261</v>
      </c>
      <c r="C33" s="10" t="s">
        <v>262</v>
      </c>
      <c r="D33" s="24" t="s">
        <v>236</v>
      </c>
      <c r="E33" s="10" t="s">
        <v>263</v>
      </c>
      <c r="F33" s="10" t="s">
        <v>264</v>
      </c>
      <c r="G33" s="20" t="s">
        <v>55</v>
      </c>
      <c r="H33" s="10" t="s">
        <v>265</v>
      </c>
      <c r="I33" s="10" t="s">
        <v>266</v>
      </c>
      <c r="J33" s="10" t="s">
        <v>267</v>
      </c>
      <c r="K33" s="10" t="s">
        <v>268</v>
      </c>
    </row>
    <row r="35" customFormat="false" ht="15" hidden="false" customHeight="false" outlineLevel="0" collapsed="false">
      <c r="A35" s="25" t="s">
        <v>269</v>
      </c>
      <c r="B35" s="25"/>
      <c r="C35" s="25"/>
      <c r="D35" s="25"/>
      <c r="E35" s="25"/>
      <c r="F35" s="25"/>
      <c r="G35" s="25"/>
      <c r="H35" s="25"/>
      <c r="I35" s="25"/>
      <c r="J35" s="25"/>
      <c r="K35" s="25"/>
    </row>
    <row r="36" customFormat="false" ht="24" hidden="false" customHeight="true" outlineLevel="0" collapsed="false">
      <c r="A36" s="16" t="s">
        <v>270</v>
      </c>
      <c r="B36" s="16"/>
      <c r="C36" s="16"/>
      <c r="D36" s="16"/>
      <c r="E36" s="16"/>
      <c r="F36" s="16"/>
      <c r="G36" s="16"/>
      <c r="H36" s="16"/>
      <c r="I36" s="16"/>
      <c r="J36" s="16"/>
      <c r="K36" s="16"/>
    </row>
    <row r="37" customFormat="false" ht="21.75" hidden="false" customHeight="true" outlineLevel="0" collapsed="false">
      <c r="A37" s="26" t="s">
        <v>38</v>
      </c>
      <c r="B37" s="26" t="s">
        <v>39</v>
      </c>
      <c r="C37" s="26" t="s">
        <v>271</v>
      </c>
      <c r="D37" s="26" t="s">
        <v>272</v>
      </c>
    </row>
    <row r="38" customFormat="false" ht="43.5" hidden="false" customHeight="true" outlineLevel="0" collapsed="false">
      <c r="A38" s="27" t="s">
        <v>273</v>
      </c>
      <c r="B38" s="28" t="s">
        <v>274</v>
      </c>
      <c r="C38" s="28" t="s">
        <v>275</v>
      </c>
      <c r="D38" s="28" t="s">
        <v>276</v>
      </c>
    </row>
    <row r="39" customFormat="false" ht="43.5" hidden="false" customHeight="true" outlineLevel="0" collapsed="false">
      <c r="A39" s="27" t="s">
        <v>277</v>
      </c>
      <c r="B39" s="28" t="s">
        <v>274</v>
      </c>
      <c r="C39" s="28" t="s">
        <v>278</v>
      </c>
      <c r="D39" s="28" t="s">
        <v>279</v>
      </c>
    </row>
    <row r="40" customFormat="false" ht="43.5" hidden="false" customHeight="true" outlineLevel="0" collapsed="false">
      <c r="A40" s="27" t="s">
        <v>280</v>
      </c>
      <c r="B40" s="28" t="s">
        <v>274</v>
      </c>
      <c r="C40" s="28" t="s">
        <v>281</v>
      </c>
      <c r="D40" s="28" t="s">
        <v>282</v>
      </c>
    </row>
    <row r="41" customFormat="false" ht="43.5" hidden="false" customHeight="true" outlineLevel="0" collapsed="false">
      <c r="A41" s="27" t="s">
        <v>283</v>
      </c>
      <c r="B41" s="28" t="s">
        <v>284</v>
      </c>
      <c r="C41" s="28" t="s">
        <v>285</v>
      </c>
      <c r="D41" s="28" t="s">
        <v>279</v>
      </c>
    </row>
    <row r="42" customFormat="false" ht="43.5" hidden="false" customHeight="true" outlineLevel="0" collapsed="false">
      <c r="A42" s="27" t="s">
        <v>286</v>
      </c>
      <c r="B42" s="28" t="s">
        <v>287</v>
      </c>
      <c r="C42" s="28" t="s">
        <v>288</v>
      </c>
      <c r="D42" s="28" t="s">
        <v>289</v>
      </c>
    </row>
    <row r="43" customFormat="false" ht="43.5" hidden="false" customHeight="true" outlineLevel="0" collapsed="false">
      <c r="A43" s="27" t="s">
        <v>290</v>
      </c>
      <c r="B43" s="28" t="s">
        <v>291</v>
      </c>
      <c r="C43" s="28" t="s">
        <v>292</v>
      </c>
      <c r="D43" s="28" t="s">
        <v>293</v>
      </c>
    </row>
    <row r="44" customFormat="false" ht="43.5" hidden="false" customHeight="true" outlineLevel="0" collapsed="false">
      <c r="A44" s="27" t="s">
        <v>294</v>
      </c>
      <c r="B44" s="28" t="s">
        <v>295</v>
      </c>
      <c r="C44" s="28" t="s">
        <v>296</v>
      </c>
      <c r="D44" s="28" t="s">
        <v>279</v>
      </c>
    </row>
    <row r="46" customFormat="false" ht="15" hidden="false" customHeight="false" outlineLevel="0" collapsed="false">
      <c r="A46" s="29" t="s">
        <v>297</v>
      </c>
      <c r="B46" s="29"/>
      <c r="C46" s="29"/>
      <c r="D46" s="29"/>
      <c r="E46" s="29"/>
      <c r="F46" s="29"/>
      <c r="G46" s="29"/>
      <c r="H46" s="29"/>
      <c r="I46" s="29"/>
      <c r="J46" s="29"/>
      <c r="K46" s="29"/>
    </row>
    <row r="47" customFormat="false" ht="21.75" hidden="false" customHeight="true" outlineLevel="0" collapsed="false">
      <c r="A47" s="30" t="s">
        <v>38</v>
      </c>
      <c r="B47" s="30" t="s">
        <v>39</v>
      </c>
      <c r="C47" s="30" t="s">
        <v>298</v>
      </c>
      <c r="D47" s="30" t="s">
        <v>299</v>
      </c>
    </row>
    <row r="48" customFormat="false" ht="54" hidden="false" customHeight="true" outlineLevel="0" collapsed="false">
      <c r="A48" s="31" t="s">
        <v>300</v>
      </c>
      <c r="B48" s="32" t="s">
        <v>301</v>
      </c>
      <c r="C48" s="32" t="s">
        <v>302</v>
      </c>
      <c r="D48" s="32" t="s">
        <v>303</v>
      </c>
    </row>
    <row r="49" customFormat="false" ht="54" hidden="false" customHeight="true" outlineLevel="0" collapsed="false">
      <c r="A49" s="31" t="s">
        <v>304</v>
      </c>
      <c r="B49" s="32" t="s">
        <v>305</v>
      </c>
      <c r="C49" s="32" t="s">
        <v>306</v>
      </c>
      <c r="D49" s="32" t="s">
        <v>307</v>
      </c>
    </row>
  </sheetData>
  <autoFilter ref="A4:K33"/>
  <mergeCells count="44">
    <mergeCell ref="A2:J2"/>
    <mergeCell ref="A8:A9"/>
    <mergeCell ref="B8:B9"/>
    <mergeCell ref="C8:C9"/>
    <mergeCell ref="D8:D9"/>
    <mergeCell ref="E8:E9"/>
    <mergeCell ref="I8:I9"/>
    <mergeCell ref="J8:J9"/>
    <mergeCell ref="K8:K9"/>
    <mergeCell ref="A11:A12"/>
    <mergeCell ref="B11:B12"/>
    <mergeCell ref="C11:C12"/>
    <mergeCell ref="D11:D12"/>
    <mergeCell ref="E11:E12"/>
    <mergeCell ref="I11:I12"/>
    <mergeCell ref="J11:J12"/>
    <mergeCell ref="K11:K12"/>
    <mergeCell ref="A15:A16"/>
    <mergeCell ref="B15:B16"/>
    <mergeCell ref="C15:C16"/>
    <mergeCell ref="D15:D16"/>
    <mergeCell ref="E15:E16"/>
    <mergeCell ref="I15:I16"/>
    <mergeCell ref="J15:J16"/>
    <mergeCell ref="K15:K16"/>
    <mergeCell ref="A23:A24"/>
    <mergeCell ref="B23:B24"/>
    <mergeCell ref="C23:C24"/>
    <mergeCell ref="D23:D24"/>
    <mergeCell ref="E23:E24"/>
    <mergeCell ref="I23:I24"/>
    <mergeCell ref="J23:J24"/>
    <mergeCell ref="K23:K24"/>
    <mergeCell ref="A28:A29"/>
    <mergeCell ref="B28:B29"/>
    <mergeCell ref="C28:C29"/>
    <mergeCell ref="D28:D29"/>
    <mergeCell ref="E28:E29"/>
    <mergeCell ref="I28:I29"/>
    <mergeCell ref="J28:J29"/>
    <mergeCell ref="K28:K29"/>
    <mergeCell ref="A35:K35"/>
    <mergeCell ref="A36:K36"/>
    <mergeCell ref="A46:K46"/>
  </mergeCells>
  <printOptions headings="false" gridLines="false" gridLinesSet="true" horizontalCentered="fals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&amp;LOperational Impact&amp;R&amp;P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40"/>
    <col collapsed="false" customWidth="true" hidden="false" outlineLevel="0" max="3" min="3" style="0" width="17"/>
    <col collapsed="false" customWidth="true" hidden="false" outlineLevel="0" max="4" min="4" style="0" width="11"/>
    <col collapsed="false" customWidth="true" hidden="false" outlineLevel="0" max="5" min="5" style="0" width="50"/>
    <col collapsed="false" customWidth="true" hidden="false" outlineLevel="0" max="6" min="6" style="0" width="52"/>
  </cols>
  <sheetData>
    <row r="1" customFormat="false" ht="18.55" hidden="false" customHeight="false" outlineLevel="0" collapsed="false">
      <c r="A1" s="15" t="s">
        <v>308</v>
      </c>
    </row>
    <row r="2" customFormat="false" ht="30" hidden="false" customHeight="true" outlineLevel="0" collapsed="false">
      <c r="A2" s="16" t="s">
        <v>309</v>
      </c>
      <c r="B2" s="16"/>
      <c r="C2" s="16"/>
      <c r="D2" s="16"/>
      <c r="E2" s="16"/>
      <c r="F2" s="16"/>
    </row>
    <row r="4" customFormat="false" ht="25.5" hidden="false" customHeight="true" outlineLevel="0" collapsed="false">
      <c r="A4" s="17" t="s">
        <v>310</v>
      </c>
      <c r="B4" s="17" t="s">
        <v>311</v>
      </c>
      <c r="C4" s="17" t="s">
        <v>312</v>
      </c>
      <c r="D4" s="17" t="s">
        <v>313</v>
      </c>
      <c r="E4" s="17" t="s">
        <v>314</v>
      </c>
      <c r="F4" s="17" t="s">
        <v>45</v>
      </c>
    </row>
    <row r="5" customFormat="false" ht="55.5" hidden="false" customHeight="true" outlineLevel="0" collapsed="false">
      <c r="A5" s="18" t="s">
        <v>54</v>
      </c>
      <c r="B5" s="10" t="s">
        <v>49</v>
      </c>
      <c r="C5" s="33" t="s">
        <v>55</v>
      </c>
      <c r="D5" s="19" t="s">
        <v>52</v>
      </c>
      <c r="E5" s="10" t="s">
        <v>53</v>
      </c>
      <c r="F5" s="10" t="s">
        <v>56</v>
      </c>
    </row>
    <row r="6" customFormat="false" ht="55.5" hidden="false" customHeight="true" outlineLevel="0" collapsed="false">
      <c r="A6" s="34" t="s">
        <v>64</v>
      </c>
      <c r="B6" s="35" t="s">
        <v>60</v>
      </c>
      <c r="C6" s="33" t="s">
        <v>55</v>
      </c>
      <c r="D6" s="19" t="s">
        <v>52</v>
      </c>
      <c r="E6" s="35" t="s">
        <v>63</v>
      </c>
      <c r="F6" s="35" t="s">
        <v>65</v>
      </c>
    </row>
    <row r="7" customFormat="false" ht="55.5" hidden="false" customHeight="true" outlineLevel="0" collapsed="false">
      <c r="A7" s="18" t="s">
        <v>72</v>
      </c>
      <c r="B7" s="10" t="s">
        <v>68</v>
      </c>
      <c r="C7" s="33" t="s">
        <v>55</v>
      </c>
      <c r="D7" s="19" t="s">
        <v>52</v>
      </c>
      <c r="E7" s="10" t="s">
        <v>71</v>
      </c>
      <c r="F7" s="10" t="s">
        <v>73</v>
      </c>
    </row>
    <row r="8" customFormat="false" ht="55.5" hidden="false" customHeight="true" outlineLevel="0" collapsed="false">
      <c r="A8" s="34" t="s">
        <v>80</v>
      </c>
      <c r="B8" s="35" t="s">
        <v>76</v>
      </c>
      <c r="C8" s="36" t="s">
        <v>81</v>
      </c>
      <c r="D8" s="19" t="s">
        <v>52</v>
      </c>
      <c r="E8" s="35" t="s">
        <v>315</v>
      </c>
      <c r="F8" s="35" t="s">
        <v>82</v>
      </c>
    </row>
    <row r="9" customFormat="false" ht="55.5" hidden="false" customHeight="true" outlineLevel="0" collapsed="false">
      <c r="A9" s="18" t="s">
        <v>86</v>
      </c>
      <c r="B9" s="10" t="s">
        <v>76</v>
      </c>
      <c r="C9" s="36" t="s">
        <v>81</v>
      </c>
      <c r="D9" s="19" t="s">
        <v>52</v>
      </c>
      <c r="E9" s="10" t="s">
        <v>315</v>
      </c>
      <c r="F9" s="10" t="s">
        <v>87</v>
      </c>
    </row>
    <row r="10" customFormat="false" ht="55.5" hidden="false" customHeight="true" outlineLevel="0" collapsed="false">
      <c r="A10" s="34" t="s">
        <v>92</v>
      </c>
      <c r="B10" s="35" t="s">
        <v>88</v>
      </c>
      <c r="C10" s="36" t="s">
        <v>81</v>
      </c>
      <c r="D10" s="19" t="s">
        <v>52</v>
      </c>
      <c r="E10" s="35" t="s">
        <v>316</v>
      </c>
      <c r="F10" s="35" t="s">
        <v>93</v>
      </c>
    </row>
    <row r="11" customFormat="false" ht="55.5" hidden="false" customHeight="true" outlineLevel="0" collapsed="false">
      <c r="A11" s="18" t="s">
        <v>100</v>
      </c>
      <c r="B11" s="10" t="s">
        <v>97</v>
      </c>
      <c r="C11" s="33" t="s">
        <v>55</v>
      </c>
      <c r="D11" s="19" t="s">
        <v>52</v>
      </c>
      <c r="E11" s="10" t="s">
        <v>99</v>
      </c>
      <c r="F11" s="10" t="s">
        <v>101</v>
      </c>
    </row>
    <row r="12" customFormat="false" ht="55.5" hidden="false" customHeight="true" outlineLevel="0" collapsed="false">
      <c r="A12" s="34" t="s">
        <v>105</v>
      </c>
      <c r="B12" s="35" t="s">
        <v>97</v>
      </c>
      <c r="C12" s="33" t="s">
        <v>55</v>
      </c>
      <c r="D12" s="19" t="s">
        <v>52</v>
      </c>
      <c r="E12" s="35" t="s">
        <v>99</v>
      </c>
      <c r="F12" s="35" t="s">
        <v>106</v>
      </c>
    </row>
    <row r="13" customFormat="false" ht="55.5" hidden="false" customHeight="true" outlineLevel="0" collapsed="false">
      <c r="A13" s="18" t="s">
        <v>110</v>
      </c>
      <c r="B13" s="10" t="s">
        <v>107</v>
      </c>
      <c r="C13" s="33" t="s">
        <v>55</v>
      </c>
      <c r="D13" s="19" t="s">
        <v>52</v>
      </c>
      <c r="E13" s="10" t="s">
        <v>109</v>
      </c>
      <c r="F13" s="10" t="s">
        <v>111</v>
      </c>
    </row>
    <row r="14" customFormat="false" ht="55.5" hidden="false" customHeight="true" outlineLevel="0" collapsed="false">
      <c r="A14" s="34" t="s">
        <v>119</v>
      </c>
      <c r="B14" s="35" t="s">
        <v>115</v>
      </c>
      <c r="C14" s="37" t="s">
        <v>120</v>
      </c>
      <c r="D14" s="19" t="s">
        <v>52</v>
      </c>
      <c r="E14" s="35" t="s">
        <v>118</v>
      </c>
      <c r="F14" s="35" t="s">
        <v>121</v>
      </c>
    </row>
    <row r="15" customFormat="false" ht="55.5" hidden="false" customHeight="true" outlineLevel="0" collapsed="false">
      <c r="A15" s="18" t="s">
        <v>128</v>
      </c>
      <c r="B15" s="10" t="s">
        <v>125</v>
      </c>
      <c r="C15" s="33" t="s">
        <v>55</v>
      </c>
      <c r="D15" s="19" t="s">
        <v>52</v>
      </c>
      <c r="E15" s="10" t="s">
        <v>127</v>
      </c>
      <c r="F15" s="10" t="s">
        <v>129</v>
      </c>
    </row>
    <row r="16" customFormat="false" ht="55.5" hidden="false" customHeight="true" outlineLevel="0" collapsed="false">
      <c r="A16" s="34" t="s">
        <v>133</v>
      </c>
      <c r="B16" s="35" t="s">
        <v>125</v>
      </c>
      <c r="C16" s="36" t="s">
        <v>81</v>
      </c>
      <c r="D16" s="19" t="s">
        <v>52</v>
      </c>
      <c r="E16" s="35" t="s">
        <v>127</v>
      </c>
      <c r="F16" s="35" t="s">
        <v>134</v>
      </c>
    </row>
    <row r="17" customFormat="false" ht="55.5" hidden="false" customHeight="true" outlineLevel="0" collapsed="false">
      <c r="A17" s="18" t="s">
        <v>138</v>
      </c>
      <c r="B17" s="10" t="s">
        <v>135</v>
      </c>
      <c r="C17" s="33" t="s">
        <v>55</v>
      </c>
      <c r="D17" s="19" t="s">
        <v>52</v>
      </c>
      <c r="E17" s="10" t="s">
        <v>137</v>
      </c>
      <c r="F17" s="10" t="s">
        <v>139</v>
      </c>
    </row>
    <row r="18" customFormat="false" ht="55.5" hidden="false" customHeight="true" outlineLevel="0" collapsed="false">
      <c r="A18" s="34" t="s">
        <v>148</v>
      </c>
      <c r="B18" s="35" t="s">
        <v>143</v>
      </c>
      <c r="C18" s="33" t="s">
        <v>55</v>
      </c>
      <c r="D18" s="23" t="s">
        <v>146</v>
      </c>
      <c r="E18" s="35" t="s">
        <v>147</v>
      </c>
      <c r="F18" s="35" t="s">
        <v>149</v>
      </c>
    </row>
    <row r="19" customFormat="false" ht="55.5" hidden="false" customHeight="true" outlineLevel="0" collapsed="false">
      <c r="A19" s="18" t="s">
        <v>157</v>
      </c>
      <c r="B19" s="10" t="s">
        <v>153</v>
      </c>
      <c r="C19" s="36" t="s">
        <v>81</v>
      </c>
      <c r="D19" s="23" t="s">
        <v>146</v>
      </c>
      <c r="E19" s="10" t="s">
        <v>317</v>
      </c>
      <c r="F19" s="10" t="s">
        <v>158</v>
      </c>
    </row>
    <row r="20" customFormat="false" ht="55.5" hidden="false" customHeight="true" outlineLevel="0" collapsed="false">
      <c r="A20" s="34" t="s">
        <v>166</v>
      </c>
      <c r="B20" s="35" t="s">
        <v>162</v>
      </c>
      <c r="C20" s="36" t="s">
        <v>81</v>
      </c>
      <c r="D20" s="23" t="s">
        <v>146</v>
      </c>
      <c r="E20" s="35" t="s">
        <v>165</v>
      </c>
      <c r="F20" s="35" t="s">
        <v>167</v>
      </c>
    </row>
    <row r="21" customFormat="false" ht="55.5" hidden="false" customHeight="true" outlineLevel="0" collapsed="false">
      <c r="A21" s="18" t="s">
        <v>174</v>
      </c>
      <c r="B21" s="10" t="s">
        <v>171</v>
      </c>
      <c r="C21" s="36" t="s">
        <v>81</v>
      </c>
      <c r="D21" s="23" t="s">
        <v>146</v>
      </c>
      <c r="E21" s="10" t="s">
        <v>173</v>
      </c>
      <c r="F21" s="10" t="s">
        <v>175</v>
      </c>
    </row>
    <row r="22" customFormat="false" ht="55.5" hidden="false" customHeight="true" outlineLevel="0" collapsed="false">
      <c r="A22" s="34" t="s">
        <v>182</v>
      </c>
      <c r="B22" s="35" t="s">
        <v>179</v>
      </c>
      <c r="C22" s="33" t="s">
        <v>55</v>
      </c>
      <c r="D22" s="23" t="s">
        <v>146</v>
      </c>
      <c r="E22" s="35" t="s">
        <v>181</v>
      </c>
      <c r="F22" s="35" t="s">
        <v>183</v>
      </c>
    </row>
    <row r="23" customFormat="false" ht="55.5" hidden="false" customHeight="true" outlineLevel="0" collapsed="false">
      <c r="A23" s="18" t="s">
        <v>191</v>
      </c>
      <c r="B23" s="10" t="s">
        <v>187</v>
      </c>
      <c r="C23" s="33" t="s">
        <v>55</v>
      </c>
      <c r="D23" s="23" t="s">
        <v>146</v>
      </c>
      <c r="E23" s="10" t="s">
        <v>190</v>
      </c>
      <c r="F23" s="10" t="s">
        <v>192</v>
      </c>
    </row>
    <row r="24" customFormat="false" ht="55.5" hidden="false" customHeight="true" outlineLevel="0" collapsed="false">
      <c r="A24" s="34" t="s">
        <v>196</v>
      </c>
      <c r="B24" s="35" t="s">
        <v>187</v>
      </c>
      <c r="C24" s="33" t="s">
        <v>55</v>
      </c>
      <c r="D24" s="23" t="s">
        <v>146</v>
      </c>
      <c r="E24" s="35" t="s">
        <v>190</v>
      </c>
      <c r="F24" s="35" t="s">
        <v>197</v>
      </c>
    </row>
    <row r="25" customFormat="false" ht="55.5" hidden="false" customHeight="true" outlineLevel="0" collapsed="false">
      <c r="A25" s="18" t="s">
        <v>202</v>
      </c>
      <c r="B25" s="10" t="s">
        <v>198</v>
      </c>
      <c r="C25" s="36" t="s">
        <v>81</v>
      </c>
      <c r="D25" s="23" t="s">
        <v>146</v>
      </c>
      <c r="E25" s="10" t="s">
        <v>201</v>
      </c>
      <c r="F25" s="10" t="s">
        <v>203</v>
      </c>
    </row>
    <row r="26" customFormat="false" ht="55.5" hidden="false" customHeight="true" outlineLevel="0" collapsed="false">
      <c r="A26" s="34" t="s">
        <v>210</v>
      </c>
      <c r="B26" s="35" t="s">
        <v>207</v>
      </c>
      <c r="C26" s="33" t="s">
        <v>55</v>
      </c>
      <c r="D26" s="23" t="s">
        <v>146</v>
      </c>
      <c r="E26" s="35" t="s">
        <v>209</v>
      </c>
      <c r="F26" s="35" t="s">
        <v>211</v>
      </c>
    </row>
    <row r="27" customFormat="false" ht="55.5" hidden="false" customHeight="true" outlineLevel="0" collapsed="false">
      <c r="A27" s="18" t="s">
        <v>219</v>
      </c>
      <c r="B27" s="10" t="s">
        <v>215</v>
      </c>
      <c r="C27" s="33" t="s">
        <v>55</v>
      </c>
      <c r="D27" s="23" t="s">
        <v>146</v>
      </c>
      <c r="E27" s="10" t="s">
        <v>218</v>
      </c>
      <c r="F27" s="10" t="s">
        <v>220</v>
      </c>
    </row>
    <row r="28" customFormat="false" ht="55.5" hidden="false" customHeight="true" outlineLevel="0" collapsed="false">
      <c r="A28" s="34" t="s">
        <v>227</v>
      </c>
      <c r="B28" s="35" t="s">
        <v>224</v>
      </c>
      <c r="C28" s="33" t="s">
        <v>55</v>
      </c>
      <c r="D28" s="23" t="s">
        <v>146</v>
      </c>
      <c r="E28" s="35" t="s">
        <v>318</v>
      </c>
      <c r="F28" s="35" t="s">
        <v>228</v>
      </c>
    </row>
    <row r="29" customFormat="false" ht="55.5" hidden="false" customHeight="true" outlineLevel="0" collapsed="false">
      <c r="A29" s="18" t="s">
        <v>232</v>
      </c>
      <c r="B29" s="10" t="s">
        <v>224</v>
      </c>
      <c r="C29" s="33" t="s">
        <v>55</v>
      </c>
      <c r="D29" s="23" t="s">
        <v>146</v>
      </c>
      <c r="E29" s="10" t="s">
        <v>318</v>
      </c>
      <c r="F29" s="10" t="s">
        <v>233</v>
      </c>
    </row>
    <row r="30" customFormat="false" ht="55.5" hidden="false" customHeight="true" outlineLevel="0" collapsed="false">
      <c r="A30" s="34" t="s">
        <v>238</v>
      </c>
      <c r="B30" s="35" t="s">
        <v>234</v>
      </c>
      <c r="C30" s="33" t="s">
        <v>239</v>
      </c>
      <c r="D30" s="24" t="s">
        <v>236</v>
      </c>
      <c r="E30" s="35" t="s">
        <v>237</v>
      </c>
      <c r="F30" s="35" t="s">
        <v>240</v>
      </c>
    </row>
    <row r="31" customFormat="false" ht="55.5" hidden="false" customHeight="true" outlineLevel="0" collapsed="false">
      <c r="A31" s="18" t="s">
        <v>247</v>
      </c>
      <c r="B31" s="10" t="s">
        <v>244</v>
      </c>
      <c r="C31" s="33" t="s">
        <v>55</v>
      </c>
      <c r="D31" s="24" t="s">
        <v>236</v>
      </c>
      <c r="E31" s="10" t="s">
        <v>246</v>
      </c>
      <c r="F31" s="10" t="s">
        <v>248</v>
      </c>
    </row>
    <row r="32" customFormat="false" ht="55.5" hidden="false" customHeight="true" outlineLevel="0" collapsed="false">
      <c r="A32" s="34" t="s">
        <v>255</v>
      </c>
      <c r="B32" s="35" t="s">
        <v>252</v>
      </c>
      <c r="C32" s="33" t="s">
        <v>55</v>
      </c>
      <c r="D32" s="24" t="s">
        <v>236</v>
      </c>
      <c r="E32" s="35" t="s">
        <v>254</v>
      </c>
      <c r="F32" s="35" t="s">
        <v>256</v>
      </c>
    </row>
    <row r="33" customFormat="false" ht="55.5" hidden="false" customHeight="true" outlineLevel="0" collapsed="false">
      <c r="A33" s="18" t="s">
        <v>264</v>
      </c>
      <c r="B33" s="10" t="s">
        <v>260</v>
      </c>
      <c r="C33" s="33" t="s">
        <v>55</v>
      </c>
      <c r="D33" s="24" t="s">
        <v>236</v>
      </c>
      <c r="E33" s="10" t="s">
        <v>263</v>
      </c>
      <c r="F33" s="10" t="s">
        <v>265</v>
      </c>
    </row>
  </sheetData>
  <autoFilter ref="A4:F33"/>
  <mergeCells count="1">
    <mergeCell ref="A2:F2"/>
  </mergeCells>
  <printOptions headings="false" gridLines="false" gridLinesSet="true" horizontalCentered="fals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&amp;LService Desk Brief&amp;R&amp;P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0"/>
    <col collapsed="false" customWidth="true" hidden="false" outlineLevel="0" max="3" min="3" style="0" width="44"/>
    <col collapsed="false" customWidth="true" hidden="false" outlineLevel="0" max="4" min="4" style="0" width="22"/>
    <col collapsed="false" customWidth="true" hidden="false" outlineLevel="0" max="5" min="5" style="0" width="8"/>
    <col collapsed="false" customWidth="true" hidden="false" outlineLevel="0" max="6" min="6" style="0" width="44"/>
    <col collapsed="false" customWidth="true" hidden="false" outlineLevel="0" max="7" min="7" style="0" width="14"/>
    <col collapsed="false" customWidth="true" hidden="false" outlineLevel="0" max="8" min="8" style="0" width="9"/>
    <col collapsed="false" customWidth="true" hidden="false" outlineLevel="0" max="9" min="9" style="0" width="20"/>
    <col collapsed="false" customWidth="true" hidden="false" outlineLevel="0" max="10" min="10" style="0" width="28"/>
    <col collapsed="false" customWidth="true" hidden="false" outlineLevel="0" max="11" min="11" style="0" width="22"/>
    <col collapsed="false" customWidth="true" hidden="false" outlineLevel="0" max="12" min="12" style="0" width="18"/>
    <col collapsed="false" customWidth="true" hidden="false" outlineLevel="0" max="13" min="13" style="0" width="64"/>
    <col collapsed="false" customWidth="true" hidden="false" outlineLevel="0" max="14" min="14" style="0" width="22"/>
    <col collapsed="false" customWidth="true" hidden="false" outlineLevel="0" max="15" min="15" style="0" width="13"/>
    <col collapsed="false" customWidth="true" hidden="false" outlineLevel="0" max="16" min="16" style="0" width="26"/>
  </cols>
  <sheetData>
    <row r="1" customFormat="false" ht="30" hidden="false" customHeight="true" outlineLevel="0" collapsed="false">
      <c r="A1" s="7" t="s">
        <v>319</v>
      </c>
      <c r="B1" s="7" t="s">
        <v>320</v>
      </c>
      <c r="C1" s="7" t="s">
        <v>321</v>
      </c>
      <c r="D1" s="7" t="s">
        <v>322</v>
      </c>
      <c r="E1" s="7" t="s">
        <v>323</v>
      </c>
      <c r="F1" s="7" t="s">
        <v>324</v>
      </c>
      <c r="G1" s="7" t="s">
        <v>325</v>
      </c>
      <c r="H1" s="7" t="s">
        <v>326</v>
      </c>
      <c r="I1" s="7" t="s">
        <v>327</v>
      </c>
      <c r="J1" s="7" t="s">
        <v>328</v>
      </c>
      <c r="K1" s="7" t="s">
        <v>329</v>
      </c>
      <c r="L1" s="7" t="s">
        <v>330</v>
      </c>
      <c r="M1" s="7" t="s">
        <v>331</v>
      </c>
      <c r="N1" s="7" t="s">
        <v>332</v>
      </c>
      <c r="O1" s="7" t="s">
        <v>18</v>
      </c>
      <c r="P1" s="7" t="s">
        <v>333</v>
      </c>
    </row>
    <row r="2" customFormat="false" ht="12.75" hidden="false" customHeight="true" outlineLevel="0" collapsed="false">
      <c r="A2" s="38" t="s">
        <v>334</v>
      </c>
      <c r="B2" s="38" t="s">
        <v>335</v>
      </c>
      <c r="C2" s="38" t="s">
        <v>334</v>
      </c>
      <c r="D2" s="38" t="s">
        <v>336</v>
      </c>
      <c r="E2" s="38" t="n">
        <v>65</v>
      </c>
      <c r="F2" s="38" t="s">
        <v>334</v>
      </c>
      <c r="G2" s="38" t="s">
        <v>337</v>
      </c>
      <c r="H2" s="38" t="s">
        <v>338</v>
      </c>
      <c r="I2" s="38" t="s">
        <v>339</v>
      </c>
      <c r="J2" s="38" t="s">
        <v>340</v>
      </c>
      <c r="K2" s="38" t="s">
        <v>341</v>
      </c>
      <c r="L2" s="38" t="s">
        <v>342</v>
      </c>
      <c r="M2" s="35" t="s">
        <v>343</v>
      </c>
      <c r="N2" s="38" t="s">
        <v>344</v>
      </c>
      <c r="O2" s="38" t="s">
        <v>21</v>
      </c>
      <c r="P2" s="35"/>
    </row>
    <row r="3" customFormat="false" ht="12.75" hidden="false" customHeight="true" outlineLevel="0" collapsed="false">
      <c r="A3" s="39" t="s">
        <v>345</v>
      </c>
      <c r="B3" s="39" t="s">
        <v>335</v>
      </c>
      <c r="C3" s="39" t="s">
        <v>345</v>
      </c>
      <c r="D3" s="39" t="s">
        <v>336</v>
      </c>
      <c r="E3" s="39" t="n">
        <v>68</v>
      </c>
      <c r="F3" s="39" t="s">
        <v>345</v>
      </c>
      <c r="G3" s="39" t="s">
        <v>337</v>
      </c>
      <c r="H3" s="39" t="s">
        <v>338</v>
      </c>
      <c r="I3" s="39" t="s">
        <v>339</v>
      </c>
      <c r="J3" s="39" t="s">
        <v>340</v>
      </c>
      <c r="K3" s="39" t="s">
        <v>341</v>
      </c>
      <c r="L3" s="39" t="s">
        <v>342</v>
      </c>
      <c r="M3" s="10" t="s">
        <v>346</v>
      </c>
      <c r="N3" s="39" t="s">
        <v>344</v>
      </c>
      <c r="O3" s="39" t="s">
        <v>21</v>
      </c>
      <c r="P3" s="10"/>
    </row>
    <row r="4" customFormat="false" ht="12.75" hidden="false" customHeight="true" outlineLevel="0" collapsed="false">
      <c r="A4" s="38" t="s">
        <v>347</v>
      </c>
      <c r="B4" s="38" t="s">
        <v>335</v>
      </c>
      <c r="C4" s="38" t="s">
        <v>347</v>
      </c>
      <c r="D4" s="38" t="s">
        <v>336</v>
      </c>
      <c r="E4" s="38" t="n">
        <v>70</v>
      </c>
      <c r="F4" s="38" t="s">
        <v>347</v>
      </c>
      <c r="G4" s="38" t="s">
        <v>337</v>
      </c>
      <c r="H4" s="38" t="s">
        <v>348</v>
      </c>
      <c r="I4" s="38" t="s">
        <v>339</v>
      </c>
      <c r="J4" s="38" t="s">
        <v>340</v>
      </c>
      <c r="K4" s="38" t="s">
        <v>341</v>
      </c>
      <c r="L4" s="38" t="s">
        <v>342</v>
      </c>
      <c r="M4" s="35" t="s">
        <v>349</v>
      </c>
      <c r="N4" s="38" t="s">
        <v>344</v>
      </c>
      <c r="O4" s="38" t="s">
        <v>21</v>
      </c>
      <c r="P4" s="35"/>
    </row>
    <row r="5" customFormat="false" ht="12.75" hidden="false" customHeight="true" outlineLevel="0" collapsed="false">
      <c r="A5" s="39" t="s">
        <v>350</v>
      </c>
      <c r="B5" s="39" t="s">
        <v>335</v>
      </c>
      <c r="C5" s="39" t="s">
        <v>350</v>
      </c>
      <c r="D5" s="39" t="s">
        <v>336</v>
      </c>
      <c r="E5" s="39" t="n">
        <v>71</v>
      </c>
      <c r="F5" s="39" t="s">
        <v>350</v>
      </c>
      <c r="G5" s="39" t="s">
        <v>337</v>
      </c>
      <c r="H5" s="39" t="s">
        <v>348</v>
      </c>
      <c r="I5" s="39" t="s">
        <v>339</v>
      </c>
      <c r="J5" s="39" t="s">
        <v>340</v>
      </c>
      <c r="K5" s="39" t="s">
        <v>341</v>
      </c>
      <c r="L5" s="39" t="s">
        <v>342</v>
      </c>
      <c r="M5" s="10" t="s">
        <v>351</v>
      </c>
      <c r="N5" s="39" t="s">
        <v>344</v>
      </c>
      <c r="O5" s="39" t="s">
        <v>21</v>
      </c>
      <c r="P5" s="10"/>
    </row>
    <row r="6" customFormat="false" ht="12.75" hidden="false" customHeight="true" outlineLevel="0" collapsed="false">
      <c r="A6" s="38" t="s">
        <v>352</v>
      </c>
      <c r="B6" s="38" t="s">
        <v>335</v>
      </c>
      <c r="C6" s="38" t="s">
        <v>352</v>
      </c>
      <c r="D6" s="38" t="s">
        <v>336</v>
      </c>
      <c r="E6" s="38" t="n">
        <v>59</v>
      </c>
      <c r="F6" s="38" t="s">
        <v>352</v>
      </c>
      <c r="G6" s="38" t="s">
        <v>337</v>
      </c>
      <c r="H6" s="38" t="s">
        <v>338</v>
      </c>
      <c r="I6" s="38" t="s">
        <v>339</v>
      </c>
      <c r="J6" s="38" t="s">
        <v>340</v>
      </c>
      <c r="K6" s="38" t="s">
        <v>341</v>
      </c>
      <c r="L6" s="38" t="s">
        <v>342</v>
      </c>
      <c r="M6" s="35" t="s">
        <v>353</v>
      </c>
      <c r="N6" s="38" t="s">
        <v>344</v>
      </c>
      <c r="O6" s="38" t="s">
        <v>21</v>
      </c>
      <c r="P6" s="35"/>
    </row>
    <row r="7" customFormat="false" ht="12.75" hidden="false" customHeight="true" outlineLevel="0" collapsed="false">
      <c r="A7" s="39" t="s">
        <v>354</v>
      </c>
      <c r="B7" s="39" t="s">
        <v>335</v>
      </c>
      <c r="C7" s="39" t="s">
        <v>354</v>
      </c>
      <c r="D7" s="39" t="s">
        <v>336</v>
      </c>
      <c r="E7" s="39" t="n">
        <v>96</v>
      </c>
      <c r="F7" s="39" t="s">
        <v>354</v>
      </c>
      <c r="G7" s="39" t="s">
        <v>337</v>
      </c>
      <c r="H7" s="39" t="s">
        <v>338</v>
      </c>
      <c r="I7" s="39" t="s">
        <v>339</v>
      </c>
      <c r="J7" s="39" t="s">
        <v>355</v>
      </c>
      <c r="K7" s="39" t="s">
        <v>356</v>
      </c>
      <c r="L7" s="39" t="s">
        <v>342</v>
      </c>
      <c r="M7" s="10" t="s">
        <v>357</v>
      </c>
      <c r="N7" s="39" t="s">
        <v>344</v>
      </c>
      <c r="O7" s="39" t="s">
        <v>21</v>
      </c>
      <c r="P7" s="10"/>
    </row>
    <row r="8" customFormat="false" ht="12.75" hidden="false" customHeight="true" outlineLevel="0" collapsed="false">
      <c r="A8" s="38" t="s">
        <v>358</v>
      </c>
      <c r="B8" s="38" t="s">
        <v>335</v>
      </c>
      <c r="C8" s="38" t="s">
        <v>358</v>
      </c>
      <c r="D8" s="38" t="s">
        <v>336</v>
      </c>
      <c r="E8" s="38" t="n">
        <v>93</v>
      </c>
      <c r="F8" s="38" t="s">
        <v>358</v>
      </c>
      <c r="G8" s="38" t="s">
        <v>359</v>
      </c>
      <c r="H8" s="38" t="s">
        <v>338</v>
      </c>
      <c r="I8" s="38" t="s">
        <v>339</v>
      </c>
      <c r="J8" s="38" t="s">
        <v>355</v>
      </c>
      <c r="K8" s="38" t="s">
        <v>360</v>
      </c>
      <c r="L8" s="38" t="s">
        <v>342</v>
      </c>
      <c r="M8" s="35" t="s">
        <v>361</v>
      </c>
      <c r="N8" s="38" t="s">
        <v>344</v>
      </c>
      <c r="O8" s="38" t="s">
        <v>21</v>
      </c>
      <c r="P8" s="35"/>
    </row>
    <row r="9" customFormat="false" ht="12.75" hidden="false" customHeight="true" outlineLevel="0" collapsed="false">
      <c r="A9" s="39" t="s">
        <v>362</v>
      </c>
      <c r="B9" s="39" t="s">
        <v>335</v>
      </c>
      <c r="C9" s="39" t="s">
        <v>362</v>
      </c>
      <c r="D9" s="39" t="s">
        <v>336</v>
      </c>
      <c r="E9" s="39" t="n">
        <v>88</v>
      </c>
      <c r="F9" s="39" t="s">
        <v>363</v>
      </c>
      <c r="G9" s="39" t="s">
        <v>364</v>
      </c>
      <c r="H9" s="39" t="s">
        <v>338</v>
      </c>
      <c r="I9" s="39" t="s">
        <v>365</v>
      </c>
      <c r="J9" s="39" t="s">
        <v>366</v>
      </c>
      <c r="K9" s="39" t="s">
        <v>367</v>
      </c>
      <c r="L9" s="39" t="s">
        <v>368</v>
      </c>
      <c r="M9" s="10" t="s">
        <v>369</v>
      </c>
      <c r="N9" s="39" t="s">
        <v>344</v>
      </c>
      <c r="O9" s="40" t="s">
        <v>25</v>
      </c>
      <c r="P9" s="10"/>
    </row>
    <row r="10" customFormat="false" ht="12.75" hidden="false" customHeight="true" outlineLevel="0" collapsed="false">
      <c r="A10" s="41" t="s">
        <v>370</v>
      </c>
      <c r="B10" s="41" t="s">
        <v>335</v>
      </c>
      <c r="C10" s="41" t="s">
        <v>370</v>
      </c>
      <c r="D10" s="41" t="s">
        <v>371</v>
      </c>
      <c r="E10" s="41"/>
      <c r="F10" s="41"/>
      <c r="G10" s="41"/>
      <c r="H10" s="41"/>
      <c r="I10" s="41"/>
      <c r="J10" s="41"/>
      <c r="K10" s="41"/>
      <c r="L10" s="41"/>
      <c r="M10" s="42"/>
      <c r="N10" s="41" t="s">
        <v>372</v>
      </c>
      <c r="O10" s="41" t="s">
        <v>29</v>
      </c>
      <c r="P10" s="42"/>
    </row>
    <row r="11" customFormat="false" ht="12.75" hidden="false" customHeight="true" outlineLevel="0" collapsed="false">
      <c r="A11" s="39" t="s">
        <v>373</v>
      </c>
      <c r="B11" s="39" t="s">
        <v>335</v>
      </c>
      <c r="C11" s="39" t="s">
        <v>373</v>
      </c>
      <c r="D11" s="39" t="s">
        <v>336</v>
      </c>
      <c r="E11" s="39" t="n">
        <v>18</v>
      </c>
      <c r="F11" s="39" t="s">
        <v>373</v>
      </c>
      <c r="G11" s="39" t="s">
        <v>337</v>
      </c>
      <c r="H11" s="39" t="s">
        <v>338</v>
      </c>
      <c r="I11" s="39" t="s">
        <v>365</v>
      </c>
      <c r="J11" s="39" t="s">
        <v>355</v>
      </c>
      <c r="K11" s="39" t="s">
        <v>374</v>
      </c>
      <c r="L11" s="39" t="s">
        <v>368</v>
      </c>
      <c r="M11" s="10" t="s">
        <v>375</v>
      </c>
      <c r="N11" s="39" t="s">
        <v>344</v>
      </c>
      <c r="O11" s="39" t="s">
        <v>21</v>
      </c>
      <c r="P11" s="10"/>
    </row>
    <row r="12" customFormat="false" ht="12.75" hidden="false" customHeight="true" outlineLevel="0" collapsed="false">
      <c r="A12" s="38" t="s">
        <v>376</v>
      </c>
      <c r="B12" s="38" t="s">
        <v>335</v>
      </c>
      <c r="C12" s="38" t="s">
        <v>377</v>
      </c>
      <c r="D12" s="38" t="s">
        <v>336</v>
      </c>
      <c r="E12" s="38" t="n">
        <v>90</v>
      </c>
      <c r="F12" s="38" t="s">
        <v>376</v>
      </c>
      <c r="G12" s="38" t="s">
        <v>337</v>
      </c>
      <c r="H12" s="38" t="s">
        <v>338</v>
      </c>
      <c r="I12" s="38" t="s">
        <v>365</v>
      </c>
      <c r="J12" s="38" t="s">
        <v>378</v>
      </c>
      <c r="K12" s="38" t="s">
        <v>379</v>
      </c>
      <c r="L12" s="38" t="s">
        <v>380</v>
      </c>
      <c r="M12" s="35" t="s">
        <v>381</v>
      </c>
      <c r="N12" s="38" t="s">
        <v>344</v>
      </c>
      <c r="O12" s="38" t="s">
        <v>21</v>
      </c>
      <c r="P12" s="35"/>
    </row>
    <row r="13" customFormat="false" ht="12.75" hidden="false" customHeight="true" outlineLevel="0" collapsed="false">
      <c r="A13" s="39" t="s">
        <v>382</v>
      </c>
      <c r="B13" s="39" t="s">
        <v>335</v>
      </c>
      <c r="C13" s="39" t="s">
        <v>382</v>
      </c>
      <c r="D13" s="39" t="s">
        <v>336</v>
      </c>
      <c r="E13" s="39" t="n">
        <v>94</v>
      </c>
      <c r="F13" s="39" t="s">
        <v>382</v>
      </c>
      <c r="G13" s="39" t="s">
        <v>383</v>
      </c>
      <c r="H13" s="39" t="s">
        <v>338</v>
      </c>
      <c r="I13" s="39" t="s">
        <v>339</v>
      </c>
      <c r="J13" s="39" t="s">
        <v>355</v>
      </c>
      <c r="K13" s="39" t="s">
        <v>341</v>
      </c>
      <c r="L13" s="39" t="s">
        <v>342</v>
      </c>
      <c r="M13" s="10" t="s">
        <v>384</v>
      </c>
      <c r="N13" s="39" t="s">
        <v>344</v>
      </c>
      <c r="O13" s="39" t="s">
        <v>21</v>
      </c>
      <c r="P13" s="10"/>
    </row>
    <row r="14" customFormat="false" ht="12.75" hidden="false" customHeight="true" outlineLevel="0" collapsed="false">
      <c r="A14" s="41" t="s">
        <v>385</v>
      </c>
      <c r="B14" s="41" t="s">
        <v>335</v>
      </c>
      <c r="C14" s="41" t="s">
        <v>385</v>
      </c>
      <c r="D14" s="41" t="s">
        <v>336</v>
      </c>
      <c r="E14" s="41"/>
      <c r="F14" s="41"/>
      <c r="G14" s="41"/>
      <c r="H14" s="41"/>
      <c r="I14" s="41"/>
      <c r="J14" s="41"/>
      <c r="K14" s="41"/>
      <c r="L14" s="41"/>
      <c r="M14" s="42"/>
      <c r="N14" s="41" t="s">
        <v>372</v>
      </c>
      <c r="O14" s="41" t="s">
        <v>29</v>
      </c>
      <c r="P14" s="42"/>
    </row>
    <row r="15" customFormat="false" ht="12.75" hidden="false" customHeight="true" outlineLevel="0" collapsed="false">
      <c r="A15" s="39" t="s">
        <v>386</v>
      </c>
      <c r="B15" s="39" t="s">
        <v>335</v>
      </c>
      <c r="C15" s="39" t="s">
        <v>224</v>
      </c>
      <c r="D15" s="39" t="s">
        <v>336</v>
      </c>
      <c r="E15" s="39" t="n">
        <v>19</v>
      </c>
      <c r="F15" s="39" t="s">
        <v>386</v>
      </c>
      <c r="G15" s="39" t="s">
        <v>337</v>
      </c>
      <c r="H15" s="39" t="s">
        <v>338</v>
      </c>
      <c r="I15" s="39" t="s">
        <v>365</v>
      </c>
      <c r="J15" s="39" t="s">
        <v>355</v>
      </c>
      <c r="K15" s="39" t="s">
        <v>387</v>
      </c>
      <c r="L15" s="39" t="s">
        <v>388</v>
      </c>
      <c r="M15" s="10" t="s">
        <v>389</v>
      </c>
      <c r="N15" s="39" t="s">
        <v>344</v>
      </c>
      <c r="O15" s="39" t="s">
        <v>21</v>
      </c>
      <c r="P15" s="10"/>
    </row>
    <row r="16" customFormat="false" ht="12.75" hidden="false" customHeight="true" outlineLevel="0" collapsed="false">
      <c r="A16" s="38" t="s">
        <v>390</v>
      </c>
      <c r="B16" s="38" t="s">
        <v>335</v>
      </c>
      <c r="C16" s="38" t="s">
        <v>390</v>
      </c>
      <c r="D16" s="38" t="s">
        <v>336</v>
      </c>
      <c r="E16" s="38" t="n">
        <v>74</v>
      </c>
      <c r="F16" s="38" t="s">
        <v>390</v>
      </c>
      <c r="G16" s="38" t="s">
        <v>383</v>
      </c>
      <c r="H16" s="38" t="s">
        <v>338</v>
      </c>
      <c r="I16" s="38" t="s">
        <v>391</v>
      </c>
      <c r="J16" s="38" t="s">
        <v>392</v>
      </c>
      <c r="K16" s="38" t="s">
        <v>341</v>
      </c>
      <c r="L16" s="38" t="s">
        <v>393</v>
      </c>
      <c r="M16" s="35" t="s">
        <v>394</v>
      </c>
      <c r="N16" s="38" t="s">
        <v>344</v>
      </c>
      <c r="O16" s="38" t="s">
        <v>21</v>
      </c>
      <c r="P16" s="35"/>
    </row>
    <row r="17" customFormat="false" ht="12.75" hidden="false" customHeight="true" outlineLevel="0" collapsed="false">
      <c r="A17" s="39" t="s">
        <v>395</v>
      </c>
      <c r="B17" s="39" t="s">
        <v>335</v>
      </c>
      <c r="C17" s="39" t="s">
        <v>395</v>
      </c>
      <c r="D17" s="39" t="s">
        <v>336</v>
      </c>
      <c r="E17" s="39" t="n">
        <v>111</v>
      </c>
      <c r="F17" s="39" t="s">
        <v>395</v>
      </c>
      <c r="G17" s="39" t="s">
        <v>383</v>
      </c>
      <c r="H17" s="39" t="s">
        <v>338</v>
      </c>
      <c r="I17" s="39" t="s">
        <v>391</v>
      </c>
      <c r="J17" s="39" t="s">
        <v>392</v>
      </c>
      <c r="K17" s="39" t="s">
        <v>341</v>
      </c>
      <c r="L17" s="39" t="s">
        <v>342</v>
      </c>
      <c r="M17" s="10" t="s">
        <v>396</v>
      </c>
      <c r="N17" s="39" t="s">
        <v>344</v>
      </c>
      <c r="O17" s="39" t="s">
        <v>21</v>
      </c>
      <c r="P17" s="10"/>
    </row>
    <row r="18" customFormat="false" ht="12.75" hidden="false" customHeight="true" outlineLevel="0" collapsed="false">
      <c r="A18" s="38" t="s">
        <v>397</v>
      </c>
      <c r="B18" s="38" t="s">
        <v>335</v>
      </c>
      <c r="C18" s="38" t="s">
        <v>398</v>
      </c>
      <c r="D18" s="38" t="s">
        <v>336</v>
      </c>
      <c r="E18" s="38" t="n">
        <v>63</v>
      </c>
      <c r="F18" s="38" t="s">
        <v>399</v>
      </c>
      <c r="G18" s="38" t="s">
        <v>337</v>
      </c>
      <c r="H18" s="38" t="s">
        <v>338</v>
      </c>
      <c r="I18" s="38" t="s">
        <v>339</v>
      </c>
      <c r="J18" s="38" t="s">
        <v>340</v>
      </c>
      <c r="K18" s="38" t="s">
        <v>341</v>
      </c>
      <c r="L18" s="38" t="s">
        <v>342</v>
      </c>
      <c r="M18" s="35" t="s">
        <v>400</v>
      </c>
      <c r="N18" s="38" t="s">
        <v>344</v>
      </c>
      <c r="O18" s="40" t="s">
        <v>27</v>
      </c>
      <c r="P18" s="35"/>
    </row>
    <row r="19" customFormat="false" ht="12.75" hidden="false" customHeight="true" outlineLevel="0" collapsed="false">
      <c r="A19" s="39" t="s">
        <v>401</v>
      </c>
      <c r="B19" s="39" t="s">
        <v>335</v>
      </c>
      <c r="C19" s="39" t="s">
        <v>402</v>
      </c>
      <c r="D19" s="39" t="s">
        <v>336</v>
      </c>
      <c r="E19" s="39" t="n">
        <v>64</v>
      </c>
      <c r="F19" s="39" t="s">
        <v>403</v>
      </c>
      <c r="G19" s="39" t="s">
        <v>337</v>
      </c>
      <c r="H19" s="39" t="s">
        <v>338</v>
      </c>
      <c r="I19" s="39" t="s">
        <v>339</v>
      </c>
      <c r="J19" s="39" t="s">
        <v>340</v>
      </c>
      <c r="K19" s="39" t="s">
        <v>341</v>
      </c>
      <c r="L19" s="39" t="s">
        <v>342</v>
      </c>
      <c r="M19" s="10" t="s">
        <v>404</v>
      </c>
      <c r="N19" s="39" t="s">
        <v>344</v>
      </c>
      <c r="O19" s="40" t="s">
        <v>27</v>
      </c>
      <c r="P19" s="10"/>
    </row>
    <row r="20" customFormat="false" ht="12.75" hidden="false" customHeight="true" outlineLevel="0" collapsed="false">
      <c r="A20" s="38" t="s">
        <v>405</v>
      </c>
      <c r="B20" s="38" t="s">
        <v>335</v>
      </c>
      <c r="C20" s="38" t="s">
        <v>406</v>
      </c>
      <c r="D20" s="38" t="s">
        <v>336</v>
      </c>
      <c r="E20" s="38" t="n">
        <v>66</v>
      </c>
      <c r="F20" s="38" t="s">
        <v>407</v>
      </c>
      <c r="G20" s="38" t="s">
        <v>337</v>
      </c>
      <c r="H20" s="38" t="s">
        <v>338</v>
      </c>
      <c r="I20" s="38" t="s">
        <v>339</v>
      </c>
      <c r="J20" s="38" t="s">
        <v>340</v>
      </c>
      <c r="K20" s="38" t="s">
        <v>341</v>
      </c>
      <c r="L20" s="38" t="s">
        <v>342</v>
      </c>
      <c r="M20" s="35" t="s">
        <v>408</v>
      </c>
      <c r="N20" s="38" t="s">
        <v>344</v>
      </c>
      <c r="O20" s="40" t="s">
        <v>27</v>
      </c>
      <c r="P20" s="35"/>
    </row>
    <row r="21" customFormat="false" ht="12.75" hidden="false" customHeight="true" outlineLevel="0" collapsed="false">
      <c r="A21" s="39" t="s">
        <v>409</v>
      </c>
      <c r="B21" s="39" t="s">
        <v>335</v>
      </c>
      <c r="C21" s="39" t="s">
        <v>410</v>
      </c>
      <c r="D21" s="39" t="s">
        <v>336</v>
      </c>
      <c r="E21" s="39" t="n">
        <v>58</v>
      </c>
      <c r="F21" s="39" t="s">
        <v>411</v>
      </c>
      <c r="G21" s="39" t="s">
        <v>337</v>
      </c>
      <c r="H21" s="39" t="s">
        <v>338</v>
      </c>
      <c r="I21" s="39" t="s">
        <v>339</v>
      </c>
      <c r="J21" s="39" t="s">
        <v>340</v>
      </c>
      <c r="K21" s="39" t="s">
        <v>341</v>
      </c>
      <c r="L21" s="39" t="s">
        <v>342</v>
      </c>
      <c r="M21" s="10" t="s">
        <v>412</v>
      </c>
      <c r="N21" s="39" t="s">
        <v>344</v>
      </c>
      <c r="O21" s="40" t="s">
        <v>27</v>
      </c>
      <c r="P21" s="10"/>
    </row>
    <row r="22" customFormat="false" ht="12.75" hidden="false" customHeight="true" outlineLevel="0" collapsed="false">
      <c r="A22" s="38" t="s">
        <v>413</v>
      </c>
      <c r="B22" s="38" t="s">
        <v>335</v>
      </c>
      <c r="C22" s="38" t="s">
        <v>414</v>
      </c>
      <c r="D22" s="38" t="s">
        <v>336</v>
      </c>
      <c r="E22" s="38" t="n">
        <v>67</v>
      </c>
      <c r="F22" s="38" t="s">
        <v>415</v>
      </c>
      <c r="G22" s="38" t="s">
        <v>337</v>
      </c>
      <c r="H22" s="38" t="s">
        <v>338</v>
      </c>
      <c r="I22" s="38" t="s">
        <v>339</v>
      </c>
      <c r="J22" s="38" t="s">
        <v>340</v>
      </c>
      <c r="K22" s="38" t="s">
        <v>341</v>
      </c>
      <c r="L22" s="38" t="s">
        <v>342</v>
      </c>
      <c r="M22" s="35" t="s">
        <v>416</v>
      </c>
      <c r="N22" s="38" t="s">
        <v>344</v>
      </c>
      <c r="O22" s="40" t="s">
        <v>27</v>
      </c>
      <c r="P22" s="35"/>
    </row>
    <row r="23" customFormat="false" ht="12.75" hidden="false" customHeight="true" outlineLevel="0" collapsed="false">
      <c r="A23" s="39" t="s">
        <v>417</v>
      </c>
      <c r="B23" s="39" t="s">
        <v>335</v>
      </c>
      <c r="C23" s="39" t="s">
        <v>418</v>
      </c>
      <c r="D23" s="39" t="s">
        <v>336</v>
      </c>
      <c r="E23" s="39" t="n">
        <v>56</v>
      </c>
      <c r="F23" s="39" t="s">
        <v>419</v>
      </c>
      <c r="G23" s="39" t="s">
        <v>337</v>
      </c>
      <c r="H23" s="39" t="s">
        <v>338</v>
      </c>
      <c r="I23" s="39" t="s">
        <v>339</v>
      </c>
      <c r="J23" s="39" t="s">
        <v>340</v>
      </c>
      <c r="K23" s="39" t="s">
        <v>420</v>
      </c>
      <c r="L23" s="39" t="s">
        <v>342</v>
      </c>
      <c r="M23" s="10" t="s">
        <v>421</v>
      </c>
      <c r="N23" s="39" t="s">
        <v>344</v>
      </c>
      <c r="O23" s="40" t="s">
        <v>27</v>
      </c>
      <c r="P23" s="10"/>
    </row>
    <row r="24" customFormat="false" ht="12.75" hidden="false" customHeight="true" outlineLevel="0" collapsed="false">
      <c r="A24" s="38" t="s">
        <v>422</v>
      </c>
      <c r="B24" s="38" t="s">
        <v>335</v>
      </c>
      <c r="C24" s="38" t="s">
        <v>423</v>
      </c>
      <c r="D24" s="38" t="s">
        <v>336</v>
      </c>
      <c r="E24" s="38" t="n">
        <v>57</v>
      </c>
      <c r="F24" s="38" t="s">
        <v>424</v>
      </c>
      <c r="G24" s="38" t="s">
        <v>337</v>
      </c>
      <c r="H24" s="38" t="s">
        <v>338</v>
      </c>
      <c r="I24" s="38" t="s">
        <v>339</v>
      </c>
      <c r="J24" s="38" t="s">
        <v>340</v>
      </c>
      <c r="K24" s="38" t="s">
        <v>341</v>
      </c>
      <c r="L24" s="38" t="s">
        <v>342</v>
      </c>
      <c r="M24" s="35" t="s">
        <v>425</v>
      </c>
      <c r="N24" s="38" t="s">
        <v>344</v>
      </c>
      <c r="O24" s="40" t="s">
        <v>27</v>
      </c>
      <c r="P24" s="35"/>
    </row>
    <row r="25" customFormat="false" ht="12.75" hidden="false" customHeight="true" outlineLevel="0" collapsed="false">
      <c r="A25" s="41" t="s">
        <v>426</v>
      </c>
      <c r="B25" s="41" t="s">
        <v>335</v>
      </c>
      <c r="C25" s="41" t="s">
        <v>427</v>
      </c>
      <c r="D25" s="41" t="s">
        <v>336</v>
      </c>
      <c r="E25" s="41"/>
      <c r="F25" s="41"/>
      <c r="G25" s="41"/>
      <c r="H25" s="41"/>
      <c r="I25" s="41"/>
      <c r="J25" s="41"/>
      <c r="K25" s="41"/>
      <c r="L25" s="41"/>
      <c r="M25" s="42"/>
      <c r="N25" s="41" t="s">
        <v>372</v>
      </c>
      <c r="O25" s="41" t="s">
        <v>29</v>
      </c>
      <c r="P25" s="42"/>
    </row>
    <row r="26" customFormat="false" ht="12.75" hidden="false" customHeight="true" outlineLevel="0" collapsed="false">
      <c r="A26" s="41" t="s">
        <v>428</v>
      </c>
      <c r="B26" s="41" t="s">
        <v>335</v>
      </c>
      <c r="C26" s="41" t="s">
        <v>429</v>
      </c>
      <c r="D26" s="41" t="s">
        <v>336</v>
      </c>
      <c r="E26" s="41"/>
      <c r="F26" s="41"/>
      <c r="G26" s="41"/>
      <c r="H26" s="41"/>
      <c r="I26" s="41"/>
      <c r="J26" s="41"/>
      <c r="K26" s="41"/>
      <c r="L26" s="41"/>
      <c r="M26" s="42"/>
      <c r="N26" s="41" t="s">
        <v>372</v>
      </c>
      <c r="O26" s="41" t="s">
        <v>29</v>
      </c>
      <c r="P26" s="42"/>
    </row>
    <row r="27" customFormat="false" ht="12.75" hidden="false" customHeight="true" outlineLevel="0" collapsed="false">
      <c r="A27" s="39" t="s">
        <v>430</v>
      </c>
      <c r="B27" s="39" t="s">
        <v>335</v>
      </c>
      <c r="C27" s="39" t="s">
        <v>431</v>
      </c>
      <c r="D27" s="39" t="s">
        <v>336</v>
      </c>
      <c r="E27" s="39" t="n">
        <v>69</v>
      </c>
      <c r="F27" s="39" t="s">
        <v>432</v>
      </c>
      <c r="G27" s="39" t="s">
        <v>337</v>
      </c>
      <c r="H27" s="39" t="s">
        <v>338</v>
      </c>
      <c r="I27" s="39" t="s">
        <v>339</v>
      </c>
      <c r="J27" s="39" t="s">
        <v>340</v>
      </c>
      <c r="K27" s="39" t="s">
        <v>341</v>
      </c>
      <c r="L27" s="39" t="s">
        <v>342</v>
      </c>
      <c r="M27" s="10" t="s">
        <v>433</v>
      </c>
      <c r="N27" s="39" t="s">
        <v>344</v>
      </c>
      <c r="O27" s="40" t="s">
        <v>27</v>
      </c>
      <c r="P27" s="10"/>
    </row>
    <row r="28" customFormat="false" ht="12.75" hidden="false" customHeight="true" outlineLevel="0" collapsed="false">
      <c r="A28" s="38" t="s">
        <v>434</v>
      </c>
      <c r="B28" s="38" t="s">
        <v>335</v>
      </c>
      <c r="C28" s="38" t="s">
        <v>435</v>
      </c>
      <c r="D28" s="38" t="s">
        <v>336</v>
      </c>
      <c r="E28" s="38" t="n">
        <v>61</v>
      </c>
      <c r="F28" s="38" t="s">
        <v>434</v>
      </c>
      <c r="G28" s="38" t="s">
        <v>337</v>
      </c>
      <c r="H28" s="38" t="s">
        <v>338</v>
      </c>
      <c r="I28" s="38" t="s">
        <v>391</v>
      </c>
      <c r="J28" s="38" t="s">
        <v>340</v>
      </c>
      <c r="K28" s="38" t="s">
        <v>341</v>
      </c>
      <c r="L28" s="38" t="s">
        <v>342</v>
      </c>
      <c r="M28" s="35" t="s">
        <v>436</v>
      </c>
      <c r="N28" s="38" t="s">
        <v>344</v>
      </c>
      <c r="O28" s="38" t="s">
        <v>21</v>
      </c>
      <c r="P28" s="35"/>
    </row>
    <row r="29" customFormat="false" ht="12.75" hidden="false" customHeight="true" outlineLevel="0" collapsed="false">
      <c r="A29" s="39" t="s">
        <v>437</v>
      </c>
      <c r="B29" s="39" t="s">
        <v>335</v>
      </c>
      <c r="C29" s="39" t="s">
        <v>438</v>
      </c>
      <c r="D29" s="39" t="s">
        <v>336</v>
      </c>
      <c r="E29" s="39" t="n">
        <v>62</v>
      </c>
      <c r="F29" s="39" t="s">
        <v>439</v>
      </c>
      <c r="G29" s="39" t="s">
        <v>337</v>
      </c>
      <c r="H29" s="39" t="s">
        <v>338</v>
      </c>
      <c r="I29" s="39" t="s">
        <v>339</v>
      </c>
      <c r="J29" s="39" t="s">
        <v>340</v>
      </c>
      <c r="K29" s="39" t="s">
        <v>440</v>
      </c>
      <c r="L29" s="39" t="s">
        <v>342</v>
      </c>
      <c r="M29" s="10" t="s">
        <v>441</v>
      </c>
      <c r="N29" s="39" t="s">
        <v>344</v>
      </c>
      <c r="O29" s="40" t="s">
        <v>27</v>
      </c>
      <c r="P29" s="10"/>
    </row>
    <row r="30" customFormat="false" ht="12.75" hidden="false" customHeight="true" outlineLevel="0" collapsed="false">
      <c r="A30" s="38" t="s">
        <v>442</v>
      </c>
      <c r="B30" s="38" t="s">
        <v>335</v>
      </c>
      <c r="C30" s="38" t="s">
        <v>442</v>
      </c>
      <c r="D30" s="38" t="s">
        <v>336</v>
      </c>
      <c r="E30" s="38" t="n">
        <v>20</v>
      </c>
      <c r="F30" s="38" t="s">
        <v>442</v>
      </c>
      <c r="G30" s="38" t="s">
        <v>337</v>
      </c>
      <c r="H30" s="38" t="s">
        <v>348</v>
      </c>
      <c r="I30" s="38" t="s">
        <v>391</v>
      </c>
      <c r="J30" s="38" t="s">
        <v>355</v>
      </c>
      <c r="K30" s="38" t="s">
        <v>443</v>
      </c>
      <c r="L30" s="38" t="s">
        <v>342</v>
      </c>
      <c r="M30" s="35" t="s">
        <v>444</v>
      </c>
      <c r="N30" s="38" t="s">
        <v>344</v>
      </c>
      <c r="O30" s="38" t="s">
        <v>21</v>
      </c>
      <c r="P30" s="35"/>
    </row>
    <row r="31" customFormat="false" ht="12.75" hidden="false" customHeight="true" outlineLevel="0" collapsed="false">
      <c r="A31" s="39" t="s">
        <v>445</v>
      </c>
      <c r="B31" s="39" t="s">
        <v>446</v>
      </c>
      <c r="C31" s="39" t="s">
        <v>445</v>
      </c>
      <c r="D31" s="39" t="s">
        <v>336</v>
      </c>
      <c r="E31" s="39" t="n">
        <v>1</v>
      </c>
      <c r="F31" s="39" t="s">
        <v>445</v>
      </c>
      <c r="G31" s="39" t="s">
        <v>337</v>
      </c>
      <c r="H31" s="39" t="s">
        <v>338</v>
      </c>
      <c r="I31" s="39" t="s">
        <v>391</v>
      </c>
      <c r="J31" s="39" t="s">
        <v>447</v>
      </c>
      <c r="K31" s="39" t="s">
        <v>448</v>
      </c>
      <c r="L31" s="39" t="s">
        <v>449</v>
      </c>
      <c r="M31" s="10" t="s">
        <v>450</v>
      </c>
      <c r="N31" s="39" t="s">
        <v>344</v>
      </c>
      <c r="O31" s="39" t="s">
        <v>21</v>
      </c>
      <c r="P31" s="10"/>
    </row>
    <row r="32" customFormat="false" ht="12.75" hidden="false" customHeight="true" outlineLevel="0" collapsed="false">
      <c r="A32" s="38" t="s">
        <v>451</v>
      </c>
      <c r="B32" s="38" t="s">
        <v>446</v>
      </c>
      <c r="C32" s="38" t="s">
        <v>452</v>
      </c>
      <c r="D32" s="38" t="s">
        <v>336</v>
      </c>
      <c r="E32" s="38" t="n">
        <v>31</v>
      </c>
      <c r="F32" s="38" t="s">
        <v>451</v>
      </c>
      <c r="G32" s="38" t="s">
        <v>337</v>
      </c>
      <c r="H32" s="38" t="s">
        <v>338</v>
      </c>
      <c r="I32" s="38" t="s">
        <v>391</v>
      </c>
      <c r="J32" s="38" t="s">
        <v>453</v>
      </c>
      <c r="K32" s="38" t="s">
        <v>454</v>
      </c>
      <c r="L32" s="38" t="s">
        <v>455</v>
      </c>
      <c r="M32" s="35" t="s">
        <v>456</v>
      </c>
      <c r="N32" s="38" t="s">
        <v>344</v>
      </c>
      <c r="O32" s="38" t="s">
        <v>21</v>
      </c>
      <c r="P32" s="35"/>
    </row>
    <row r="33" customFormat="false" ht="12.75" hidden="false" customHeight="true" outlineLevel="0" collapsed="false">
      <c r="A33" s="39" t="s">
        <v>457</v>
      </c>
      <c r="B33" s="39" t="s">
        <v>446</v>
      </c>
      <c r="C33" s="39" t="s">
        <v>458</v>
      </c>
      <c r="D33" s="39" t="s">
        <v>336</v>
      </c>
      <c r="E33" s="39" t="n">
        <v>2</v>
      </c>
      <c r="F33" s="39" t="s">
        <v>457</v>
      </c>
      <c r="G33" s="39" t="s">
        <v>337</v>
      </c>
      <c r="H33" s="39" t="s">
        <v>338</v>
      </c>
      <c r="I33" s="39" t="s">
        <v>391</v>
      </c>
      <c r="J33" s="39" t="s">
        <v>447</v>
      </c>
      <c r="K33" s="39" t="s">
        <v>459</v>
      </c>
      <c r="L33" s="39" t="s">
        <v>460</v>
      </c>
      <c r="M33" s="10" t="s">
        <v>461</v>
      </c>
      <c r="N33" s="39" t="s">
        <v>344</v>
      </c>
      <c r="O33" s="39" t="s">
        <v>21</v>
      </c>
      <c r="P33" s="10"/>
    </row>
    <row r="34" customFormat="false" ht="12.75" hidden="false" customHeight="true" outlineLevel="0" collapsed="false">
      <c r="A34" s="38" t="s">
        <v>462</v>
      </c>
      <c r="B34" s="38" t="s">
        <v>446</v>
      </c>
      <c r="C34" s="38" t="s">
        <v>463</v>
      </c>
      <c r="D34" s="38" t="s">
        <v>336</v>
      </c>
      <c r="E34" s="38" t="n">
        <v>3</v>
      </c>
      <c r="F34" s="38" t="s">
        <v>462</v>
      </c>
      <c r="G34" s="38" t="s">
        <v>337</v>
      </c>
      <c r="H34" s="38" t="s">
        <v>338</v>
      </c>
      <c r="I34" s="38" t="s">
        <v>391</v>
      </c>
      <c r="J34" s="38" t="s">
        <v>447</v>
      </c>
      <c r="K34" s="38" t="s">
        <v>464</v>
      </c>
      <c r="L34" s="38" t="s">
        <v>465</v>
      </c>
      <c r="M34" s="35" t="s">
        <v>466</v>
      </c>
      <c r="N34" s="38" t="s">
        <v>344</v>
      </c>
      <c r="O34" s="38" t="s">
        <v>21</v>
      </c>
      <c r="P34" s="35"/>
    </row>
    <row r="35" customFormat="false" ht="12.75" hidden="false" customHeight="true" outlineLevel="0" collapsed="false">
      <c r="A35" s="39" t="s">
        <v>467</v>
      </c>
      <c r="B35" s="39" t="s">
        <v>446</v>
      </c>
      <c r="C35" s="39" t="s">
        <v>468</v>
      </c>
      <c r="D35" s="39" t="s">
        <v>336</v>
      </c>
      <c r="E35" s="39" t="n">
        <v>4</v>
      </c>
      <c r="F35" s="39" t="s">
        <v>467</v>
      </c>
      <c r="G35" s="39" t="s">
        <v>337</v>
      </c>
      <c r="H35" s="39" t="s">
        <v>338</v>
      </c>
      <c r="I35" s="39" t="s">
        <v>391</v>
      </c>
      <c r="J35" s="39" t="s">
        <v>447</v>
      </c>
      <c r="K35" s="39" t="s">
        <v>469</v>
      </c>
      <c r="L35" s="39" t="s">
        <v>460</v>
      </c>
      <c r="M35" s="10" t="s">
        <v>470</v>
      </c>
      <c r="N35" s="39" t="s">
        <v>344</v>
      </c>
      <c r="O35" s="39" t="s">
        <v>21</v>
      </c>
      <c r="P35" s="10"/>
    </row>
    <row r="36" customFormat="false" ht="12.75" hidden="false" customHeight="true" outlineLevel="0" collapsed="false">
      <c r="A36" s="41" t="s">
        <v>471</v>
      </c>
      <c r="B36" s="41" t="s">
        <v>446</v>
      </c>
      <c r="C36" s="41" t="s">
        <v>471</v>
      </c>
      <c r="D36" s="41" t="s">
        <v>336</v>
      </c>
      <c r="E36" s="41"/>
      <c r="F36" s="41"/>
      <c r="G36" s="41"/>
      <c r="H36" s="41"/>
      <c r="I36" s="41"/>
      <c r="J36" s="41"/>
      <c r="K36" s="41"/>
      <c r="L36" s="41"/>
      <c r="M36" s="42"/>
      <c r="N36" s="41" t="s">
        <v>372</v>
      </c>
      <c r="O36" s="41" t="s">
        <v>29</v>
      </c>
      <c r="P36" s="42"/>
    </row>
    <row r="37" customFormat="false" ht="12.75" hidden="false" customHeight="true" outlineLevel="0" collapsed="false">
      <c r="A37" s="41" t="s">
        <v>472</v>
      </c>
      <c r="B37" s="41" t="s">
        <v>446</v>
      </c>
      <c r="C37" s="41" t="s">
        <v>472</v>
      </c>
      <c r="D37" s="41" t="s">
        <v>336</v>
      </c>
      <c r="E37" s="41"/>
      <c r="F37" s="41"/>
      <c r="G37" s="41"/>
      <c r="H37" s="41"/>
      <c r="I37" s="41"/>
      <c r="J37" s="41"/>
      <c r="K37" s="41"/>
      <c r="L37" s="41"/>
      <c r="M37" s="42"/>
      <c r="N37" s="41" t="s">
        <v>372</v>
      </c>
      <c r="O37" s="41" t="s">
        <v>29</v>
      </c>
      <c r="P37" s="42"/>
    </row>
    <row r="38" customFormat="false" ht="12.75" hidden="false" customHeight="true" outlineLevel="0" collapsed="false">
      <c r="A38" s="38" t="s">
        <v>473</v>
      </c>
      <c r="B38" s="38" t="s">
        <v>446</v>
      </c>
      <c r="C38" s="38" t="s">
        <v>473</v>
      </c>
      <c r="D38" s="38" t="s">
        <v>336</v>
      </c>
      <c r="E38" s="38" t="n">
        <v>41</v>
      </c>
      <c r="F38" s="38" t="s">
        <v>473</v>
      </c>
      <c r="G38" s="38" t="s">
        <v>337</v>
      </c>
      <c r="H38" s="38" t="s">
        <v>338</v>
      </c>
      <c r="I38" s="38" t="s">
        <v>391</v>
      </c>
      <c r="J38" s="38" t="s">
        <v>474</v>
      </c>
      <c r="K38" s="38" t="s">
        <v>475</v>
      </c>
      <c r="L38" s="38" t="s">
        <v>476</v>
      </c>
      <c r="M38" s="35" t="s">
        <v>477</v>
      </c>
      <c r="N38" s="38" t="s">
        <v>344</v>
      </c>
      <c r="O38" s="38" t="s">
        <v>21</v>
      </c>
      <c r="P38" s="35"/>
    </row>
    <row r="39" customFormat="false" ht="12.75" hidden="false" customHeight="true" outlineLevel="0" collapsed="false">
      <c r="A39" s="39" t="s">
        <v>478</v>
      </c>
      <c r="B39" s="39" t="s">
        <v>446</v>
      </c>
      <c r="C39" s="39" t="s">
        <v>478</v>
      </c>
      <c r="D39" s="39" t="s">
        <v>336</v>
      </c>
      <c r="E39" s="39" t="n">
        <v>32</v>
      </c>
      <c r="F39" s="39" t="s">
        <v>478</v>
      </c>
      <c r="G39" s="39" t="s">
        <v>337</v>
      </c>
      <c r="H39" s="39" t="s">
        <v>338</v>
      </c>
      <c r="I39" s="39" t="s">
        <v>391</v>
      </c>
      <c r="J39" s="39" t="s">
        <v>453</v>
      </c>
      <c r="K39" s="39" t="s">
        <v>479</v>
      </c>
      <c r="L39" s="39" t="s">
        <v>455</v>
      </c>
      <c r="M39" s="10" t="s">
        <v>480</v>
      </c>
      <c r="N39" s="39" t="s">
        <v>344</v>
      </c>
      <c r="O39" s="39" t="s">
        <v>21</v>
      </c>
      <c r="P39" s="10"/>
    </row>
    <row r="40" customFormat="false" ht="12.75" hidden="false" customHeight="true" outlineLevel="0" collapsed="false">
      <c r="A40" s="38" t="s">
        <v>481</v>
      </c>
      <c r="B40" s="38" t="s">
        <v>446</v>
      </c>
      <c r="C40" s="38" t="s">
        <v>482</v>
      </c>
      <c r="D40" s="38" t="s">
        <v>336</v>
      </c>
      <c r="E40" s="38" t="n">
        <v>27</v>
      </c>
      <c r="F40" s="38" t="s">
        <v>481</v>
      </c>
      <c r="G40" s="38" t="s">
        <v>337</v>
      </c>
      <c r="H40" s="38" t="s">
        <v>338</v>
      </c>
      <c r="I40" s="38" t="s">
        <v>391</v>
      </c>
      <c r="J40" s="38" t="s">
        <v>483</v>
      </c>
      <c r="K40" s="38" t="s">
        <v>484</v>
      </c>
      <c r="L40" s="38" t="s">
        <v>485</v>
      </c>
      <c r="M40" s="35" t="s">
        <v>486</v>
      </c>
      <c r="N40" s="38" t="s">
        <v>344</v>
      </c>
      <c r="O40" s="38" t="s">
        <v>21</v>
      </c>
      <c r="P40" s="35"/>
    </row>
    <row r="41" customFormat="false" ht="12.75" hidden="false" customHeight="true" outlineLevel="0" collapsed="false">
      <c r="A41" s="39" t="s">
        <v>487</v>
      </c>
      <c r="B41" s="39" t="s">
        <v>446</v>
      </c>
      <c r="C41" s="39" t="s">
        <v>487</v>
      </c>
      <c r="D41" s="39" t="s">
        <v>336</v>
      </c>
      <c r="E41" s="39" t="n">
        <v>35</v>
      </c>
      <c r="F41" s="39" t="s">
        <v>487</v>
      </c>
      <c r="G41" s="39" t="s">
        <v>337</v>
      </c>
      <c r="H41" s="39" t="s">
        <v>338</v>
      </c>
      <c r="I41" s="39" t="s">
        <v>391</v>
      </c>
      <c r="J41" s="39" t="s">
        <v>488</v>
      </c>
      <c r="K41" s="39" t="s">
        <v>489</v>
      </c>
      <c r="L41" s="39" t="s">
        <v>490</v>
      </c>
      <c r="M41" s="10" t="s">
        <v>491</v>
      </c>
      <c r="N41" s="39" t="s">
        <v>344</v>
      </c>
      <c r="O41" s="39" t="s">
        <v>21</v>
      </c>
      <c r="P41" s="10"/>
    </row>
    <row r="42" customFormat="false" ht="12.75" hidden="false" customHeight="true" outlineLevel="0" collapsed="false">
      <c r="A42" s="38" t="s">
        <v>492</v>
      </c>
      <c r="B42" s="38" t="s">
        <v>446</v>
      </c>
      <c r="C42" s="38" t="s">
        <v>492</v>
      </c>
      <c r="D42" s="38" t="s">
        <v>336</v>
      </c>
      <c r="E42" s="38" t="n">
        <v>36</v>
      </c>
      <c r="F42" s="38" t="s">
        <v>492</v>
      </c>
      <c r="G42" s="38" t="s">
        <v>337</v>
      </c>
      <c r="H42" s="38" t="s">
        <v>338</v>
      </c>
      <c r="I42" s="38" t="s">
        <v>391</v>
      </c>
      <c r="J42" s="38" t="s">
        <v>488</v>
      </c>
      <c r="K42" s="38" t="s">
        <v>489</v>
      </c>
      <c r="L42" s="38" t="s">
        <v>490</v>
      </c>
      <c r="M42" s="35" t="s">
        <v>493</v>
      </c>
      <c r="N42" s="38" t="s">
        <v>344</v>
      </c>
      <c r="O42" s="38" t="s">
        <v>21</v>
      </c>
      <c r="P42" s="35"/>
    </row>
    <row r="43" customFormat="false" ht="12.75" hidden="false" customHeight="true" outlineLevel="0" collapsed="false">
      <c r="A43" s="41" t="s">
        <v>115</v>
      </c>
      <c r="B43" s="41" t="s">
        <v>446</v>
      </c>
      <c r="C43" s="41" t="s">
        <v>115</v>
      </c>
      <c r="D43" s="41" t="s">
        <v>336</v>
      </c>
      <c r="E43" s="41"/>
      <c r="F43" s="41"/>
      <c r="G43" s="41"/>
      <c r="H43" s="41"/>
      <c r="I43" s="41"/>
      <c r="J43" s="41"/>
      <c r="K43" s="41"/>
      <c r="L43" s="41"/>
      <c r="M43" s="42"/>
      <c r="N43" s="41" t="s">
        <v>372</v>
      </c>
      <c r="O43" s="41" t="s">
        <v>29</v>
      </c>
      <c r="P43" s="42"/>
    </row>
    <row r="44" customFormat="false" ht="12.75" hidden="false" customHeight="true" outlineLevel="0" collapsed="false">
      <c r="A44" s="38" t="s">
        <v>494</v>
      </c>
      <c r="B44" s="38" t="s">
        <v>446</v>
      </c>
      <c r="C44" s="38" t="s">
        <v>244</v>
      </c>
      <c r="D44" s="38" t="s">
        <v>336</v>
      </c>
      <c r="E44" s="38" t="n">
        <v>46</v>
      </c>
      <c r="F44" s="38" t="s">
        <v>494</v>
      </c>
      <c r="G44" s="38" t="s">
        <v>337</v>
      </c>
      <c r="H44" s="38" t="s">
        <v>338</v>
      </c>
      <c r="I44" s="38" t="s">
        <v>391</v>
      </c>
      <c r="J44" s="38" t="s">
        <v>495</v>
      </c>
      <c r="K44" s="38" t="s">
        <v>496</v>
      </c>
      <c r="L44" s="38" t="s">
        <v>485</v>
      </c>
      <c r="M44" s="35" t="s">
        <v>497</v>
      </c>
      <c r="N44" s="38" t="s">
        <v>344</v>
      </c>
      <c r="O44" s="38" t="s">
        <v>21</v>
      </c>
      <c r="P44" s="35"/>
    </row>
    <row r="45" customFormat="false" ht="12.75" hidden="false" customHeight="true" outlineLevel="0" collapsed="false">
      <c r="A45" s="39" t="s">
        <v>498</v>
      </c>
      <c r="B45" s="39" t="s">
        <v>446</v>
      </c>
      <c r="C45" s="39" t="s">
        <v>499</v>
      </c>
      <c r="D45" s="39" t="s">
        <v>336</v>
      </c>
      <c r="E45" s="39" t="n">
        <v>47</v>
      </c>
      <c r="F45" s="39" t="s">
        <v>498</v>
      </c>
      <c r="G45" s="39" t="s">
        <v>337</v>
      </c>
      <c r="H45" s="39" t="s">
        <v>338</v>
      </c>
      <c r="I45" s="39" t="s">
        <v>391</v>
      </c>
      <c r="J45" s="39" t="s">
        <v>495</v>
      </c>
      <c r="K45" s="39" t="s">
        <v>496</v>
      </c>
      <c r="L45" s="39" t="s">
        <v>485</v>
      </c>
      <c r="M45" s="10" t="s">
        <v>500</v>
      </c>
      <c r="N45" s="39" t="s">
        <v>344</v>
      </c>
      <c r="O45" s="39" t="s">
        <v>21</v>
      </c>
      <c r="P45" s="10"/>
    </row>
    <row r="46" customFormat="false" ht="12.75" hidden="false" customHeight="true" outlineLevel="0" collapsed="false">
      <c r="A46" s="41" t="s">
        <v>501</v>
      </c>
      <c r="B46" s="41" t="s">
        <v>446</v>
      </c>
      <c r="C46" s="41" t="s">
        <v>502</v>
      </c>
      <c r="D46" s="41" t="s">
        <v>336</v>
      </c>
      <c r="E46" s="41"/>
      <c r="F46" s="41"/>
      <c r="G46" s="41"/>
      <c r="H46" s="41"/>
      <c r="I46" s="41"/>
      <c r="J46" s="41"/>
      <c r="K46" s="41"/>
      <c r="L46" s="41"/>
      <c r="M46" s="42"/>
      <c r="N46" s="41" t="s">
        <v>372</v>
      </c>
      <c r="O46" s="41" t="s">
        <v>29</v>
      </c>
      <c r="P46" s="42"/>
    </row>
    <row r="47" customFormat="false" ht="12.75" hidden="false" customHeight="true" outlineLevel="0" collapsed="false">
      <c r="A47" s="39" t="s">
        <v>503</v>
      </c>
      <c r="B47" s="39" t="s">
        <v>446</v>
      </c>
      <c r="C47" s="39" t="s">
        <v>504</v>
      </c>
      <c r="D47" s="39" t="s">
        <v>336</v>
      </c>
      <c r="E47" s="39" t="n">
        <v>37</v>
      </c>
      <c r="F47" s="39" t="s">
        <v>503</v>
      </c>
      <c r="G47" s="39" t="s">
        <v>337</v>
      </c>
      <c r="H47" s="39" t="s">
        <v>338</v>
      </c>
      <c r="I47" s="39" t="s">
        <v>391</v>
      </c>
      <c r="J47" s="39" t="s">
        <v>488</v>
      </c>
      <c r="K47" s="39" t="s">
        <v>505</v>
      </c>
      <c r="L47" s="39" t="s">
        <v>506</v>
      </c>
      <c r="M47" s="10" t="s">
        <v>507</v>
      </c>
      <c r="N47" s="39" t="s">
        <v>344</v>
      </c>
      <c r="O47" s="39" t="s">
        <v>21</v>
      </c>
      <c r="P47" s="10"/>
    </row>
    <row r="48" customFormat="false" ht="12.75" hidden="false" customHeight="true" outlineLevel="0" collapsed="false">
      <c r="A48" s="41" t="s">
        <v>508</v>
      </c>
      <c r="B48" s="41" t="s">
        <v>446</v>
      </c>
      <c r="C48" s="41" t="s">
        <v>509</v>
      </c>
      <c r="D48" s="41" t="s">
        <v>336</v>
      </c>
      <c r="E48" s="41"/>
      <c r="F48" s="41"/>
      <c r="G48" s="41"/>
      <c r="H48" s="41"/>
      <c r="I48" s="41"/>
      <c r="J48" s="41"/>
      <c r="K48" s="41"/>
      <c r="L48" s="41"/>
      <c r="M48" s="42"/>
      <c r="N48" s="41" t="s">
        <v>372</v>
      </c>
      <c r="O48" s="41" t="s">
        <v>29</v>
      </c>
      <c r="P48" s="42"/>
    </row>
    <row r="49" customFormat="false" ht="12.75" hidden="false" customHeight="true" outlineLevel="0" collapsed="false">
      <c r="A49" s="39" t="s">
        <v>510</v>
      </c>
      <c r="B49" s="39" t="s">
        <v>446</v>
      </c>
      <c r="C49" s="39" t="s">
        <v>511</v>
      </c>
      <c r="D49" s="39" t="s">
        <v>336</v>
      </c>
      <c r="E49" s="39" t="n">
        <v>28</v>
      </c>
      <c r="F49" s="39" t="s">
        <v>510</v>
      </c>
      <c r="G49" s="39" t="s">
        <v>337</v>
      </c>
      <c r="H49" s="39" t="s">
        <v>338</v>
      </c>
      <c r="I49" s="39" t="s">
        <v>391</v>
      </c>
      <c r="J49" s="39" t="s">
        <v>483</v>
      </c>
      <c r="K49" s="39" t="s">
        <v>464</v>
      </c>
      <c r="L49" s="39" t="s">
        <v>465</v>
      </c>
      <c r="M49" s="10" t="s">
        <v>512</v>
      </c>
      <c r="N49" s="39" t="s">
        <v>344</v>
      </c>
      <c r="O49" s="39" t="s">
        <v>21</v>
      </c>
      <c r="P49" s="10"/>
    </row>
    <row r="50" customFormat="false" ht="12.75" hidden="false" customHeight="true" outlineLevel="0" collapsed="false">
      <c r="A50" s="38" t="s">
        <v>513</v>
      </c>
      <c r="B50" s="38" t="s">
        <v>446</v>
      </c>
      <c r="C50" s="38" t="s">
        <v>514</v>
      </c>
      <c r="D50" s="38" t="s">
        <v>336</v>
      </c>
      <c r="E50" s="38" t="n">
        <v>34</v>
      </c>
      <c r="F50" s="38" t="s">
        <v>513</v>
      </c>
      <c r="G50" s="38" t="s">
        <v>337</v>
      </c>
      <c r="H50" s="38" t="s">
        <v>338</v>
      </c>
      <c r="I50" s="38" t="s">
        <v>391</v>
      </c>
      <c r="J50" s="38" t="s">
        <v>488</v>
      </c>
      <c r="K50" s="38" t="s">
        <v>515</v>
      </c>
      <c r="L50" s="38" t="s">
        <v>516</v>
      </c>
      <c r="M50" s="35" t="s">
        <v>517</v>
      </c>
      <c r="N50" s="38" t="s">
        <v>344</v>
      </c>
      <c r="O50" s="38" t="s">
        <v>21</v>
      </c>
      <c r="P50" s="35"/>
    </row>
    <row r="51" customFormat="false" ht="12.75" hidden="false" customHeight="true" outlineLevel="0" collapsed="false">
      <c r="A51" s="39" t="s">
        <v>518</v>
      </c>
      <c r="B51" s="39" t="s">
        <v>446</v>
      </c>
      <c r="C51" s="39" t="s">
        <v>518</v>
      </c>
      <c r="D51" s="39" t="s">
        <v>336</v>
      </c>
      <c r="E51" s="39" t="n">
        <v>5</v>
      </c>
      <c r="F51" s="39" t="s">
        <v>518</v>
      </c>
      <c r="G51" s="39" t="s">
        <v>337</v>
      </c>
      <c r="H51" s="39" t="s">
        <v>338</v>
      </c>
      <c r="I51" s="39" t="s">
        <v>391</v>
      </c>
      <c r="J51" s="39" t="s">
        <v>447</v>
      </c>
      <c r="K51" s="39" t="s">
        <v>464</v>
      </c>
      <c r="L51" s="39" t="s">
        <v>465</v>
      </c>
      <c r="M51" s="10" t="s">
        <v>519</v>
      </c>
      <c r="N51" s="39" t="s">
        <v>344</v>
      </c>
      <c r="O51" s="39" t="s">
        <v>21</v>
      </c>
      <c r="P51" s="10"/>
    </row>
    <row r="52" customFormat="false" ht="12.75" hidden="false" customHeight="true" outlineLevel="0" collapsed="false">
      <c r="A52" s="38" t="s">
        <v>520</v>
      </c>
      <c r="B52" s="38" t="s">
        <v>446</v>
      </c>
      <c r="C52" s="38" t="s">
        <v>520</v>
      </c>
      <c r="D52" s="38" t="s">
        <v>336</v>
      </c>
      <c r="E52" s="38" t="n">
        <v>48</v>
      </c>
      <c r="F52" s="38" t="s">
        <v>520</v>
      </c>
      <c r="G52" s="38" t="s">
        <v>337</v>
      </c>
      <c r="H52" s="38" t="s">
        <v>338</v>
      </c>
      <c r="I52" s="38" t="s">
        <v>391</v>
      </c>
      <c r="J52" s="38" t="s">
        <v>495</v>
      </c>
      <c r="K52" s="38" t="s">
        <v>496</v>
      </c>
      <c r="L52" s="38" t="s">
        <v>485</v>
      </c>
      <c r="M52" s="35" t="s">
        <v>521</v>
      </c>
      <c r="N52" s="38" t="s">
        <v>344</v>
      </c>
      <c r="O52" s="38" t="s">
        <v>21</v>
      </c>
      <c r="P52" s="35"/>
    </row>
    <row r="53" customFormat="false" ht="12.75" hidden="false" customHeight="true" outlineLevel="0" collapsed="false">
      <c r="A53" s="39" t="s">
        <v>522</v>
      </c>
      <c r="B53" s="39" t="s">
        <v>446</v>
      </c>
      <c r="C53" s="39" t="s">
        <v>522</v>
      </c>
      <c r="D53" s="39" t="s">
        <v>336</v>
      </c>
      <c r="E53" s="39" t="n">
        <v>42</v>
      </c>
      <c r="F53" s="39" t="s">
        <v>522</v>
      </c>
      <c r="G53" s="39" t="s">
        <v>337</v>
      </c>
      <c r="H53" s="39" t="s">
        <v>338</v>
      </c>
      <c r="I53" s="39" t="s">
        <v>391</v>
      </c>
      <c r="J53" s="39" t="s">
        <v>474</v>
      </c>
      <c r="K53" s="39" t="s">
        <v>505</v>
      </c>
      <c r="L53" s="39" t="s">
        <v>506</v>
      </c>
      <c r="M53" s="10" t="s">
        <v>523</v>
      </c>
      <c r="N53" s="39" t="s">
        <v>344</v>
      </c>
      <c r="O53" s="39" t="s">
        <v>21</v>
      </c>
      <c r="P53" s="10"/>
    </row>
    <row r="54" customFormat="false" ht="12.75" hidden="false" customHeight="true" outlineLevel="0" collapsed="false">
      <c r="A54" s="38" t="s">
        <v>524</v>
      </c>
      <c r="B54" s="38" t="s">
        <v>446</v>
      </c>
      <c r="C54" s="38" t="s">
        <v>524</v>
      </c>
      <c r="D54" s="38" t="s">
        <v>336</v>
      </c>
      <c r="E54" s="38" t="n">
        <v>39</v>
      </c>
      <c r="F54" s="38" t="s">
        <v>524</v>
      </c>
      <c r="G54" s="38" t="s">
        <v>337</v>
      </c>
      <c r="H54" s="38" t="s">
        <v>338</v>
      </c>
      <c r="I54" s="38" t="s">
        <v>391</v>
      </c>
      <c r="J54" s="38" t="s">
        <v>474</v>
      </c>
      <c r="K54" s="38" t="s">
        <v>475</v>
      </c>
      <c r="L54" s="38" t="s">
        <v>516</v>
      </c>
      <c r="M54" s="35" t="s">
        <v>525</v>
      </c>
      <c r="N54" s="38" t="s">
        <v>344</v>
      </c>
      <c r="O54" s="38" t="s">
        <v>21</v>
      </c>
      <c r="P54" s="35"/>
    </row>
    <row r="55" customFormat="false" ht="12.75" hidden="false" customHeight="true" outlineLevel="0" collapsed="false">
      <c r="A55" s="39" t="s">
        <v>526</v>
      </c>
      <c r="B55" s="39" t="s">
        <v>446</v>
      </c>
      <c r="C55" s="39" t="s">
        <v>526</v>
      </c>
      <c r="D55" s="39" t="s">
        <v>336</v>
      </c>
      <c r="E55" s="39" t="n">
        <v>40</v>
      </c>
      <c r="F55" s="39" t="s">
        <v>526</v>
      </c>
      <c r="G55" s="39" t="s">
        <v>337</v>
      </c>
      <c r="H55" s="39" t="s">
        <v>338</v>
      </c>
      <c r="I55" s="39" t="s">
        <v>391</v>
      </c>
      <c r="J55" s="39" t="s">
        <v>474</v>
      </c>
      <c r="K55" s="39" t="s">
        <v>527</v>
      </c>
      <c r="L55" s="39" t="s">
        <v>506</v>
      </c>
      <c r="M55" s="10" t="s">
        <v>528</v>
      </c>
      <c r="N55" s="39" t="s">
        <v>344</v>
      </c>
      <c r="O55" s="39" t="s">
        <v>21</v>
      </c>
      <c r="P55" s="10"/>
    </row>
    <row r="56" customFormat="false" ht="12.75" hidden="false" customHeight="true" outlineLevel="0" collapsed="false">
      <c r="A56" s="38" t="s">
        <v>529</v>
      </c>
      <c r="B56" s="38" t="s">
        <v>446</v>
      </c>
      <c r="C56" s="38" t="s">
        <v>530</v>
      </c>
      <c r="D56" s="38" t="s">
        <v>336</v>
      </c>
      <c r="E56" s="38" t="n">
        <v>30</v>
      </c>
      <c r="F56" s="38" t="s">
        <v>529</v>
      </c>
      <c r="G56" s="38" t="s">
        <v>337</v>
      </c>
      <c r="H56" s="38" t="s">
        <v>338</v>
      </c>
      <c r="I56" s="38" t="s">
        <v>391</v>
      </c>
      <c r="J56" s="38" t="s">
        <v>453</v>
      </c>
      <c r="K56" s="38" t="s">
        <v>454</v>
      </c>
      <c r="L56" s="38" t="s">
        <v>455</v>
      </c>
      <c r="M56" s="35" t="s">
        <v>531</v>
      </c>
      <c r="N56" s="38" t="s">
        <v>344</v>
      </c>
      <c r="O56" s="38" t="s">
        <v>21</v>
      </c>
      <c r="P56" s="35"/>
    </row>
    <row r="57" customFormat="false" ht="12.75" hidden="false" customHeight="true" outlineLevel="0" collapsed="false">
      <c r="A57" s="39" t="s">
        <v>532</v>
      </c>
      <c r="B57" s="39" t="s">
        <v>446</v>
      </c>
      <c r="C57" s="39" t="s">
        <v>533</v>
      </c>
      <c r="D57" s="39" t="s">
        <v>336</v>
      </c>
      <c r="E57" s="39" t="n">
        <v>29</v>
      </c>
      <c r="F57" s="39" t="s">
        <v>532</v>
      </c>
      <c r="G57" s="39" t="s">
        <v>337</v>
      </c>
      <c r="H57" s="39" t="s">
        <v>338</v>
      </c>
      <c r="I57" s="39" t="s">
        <v>391</v>
      </c>
      <c r="J57" s="39" t="s">
        <v>453</v>
      </c>
      <c r="K57" s="39" t="s">
        <v>454</v>
      </c>
      <c r="L57" s="39" t="s">
        <v>455</v>
      </c>
      <c r="M57" s="10" t="s">
        <v>534</v>
      </c>
      <c r="N57" s="39" t="s">
        <v>344</v>
      </c>
      <c r="O57" s="39" t="s">
        <v>21</v>
      </c>
      <c r="P57" s="10"/>
    </row>
    <row r="58" customFormat="false" ht="12.75" hidden="false" customHeight="true" outlineLevel="0" collapsed="false">
      <c r="A58" s="38" t="s">
        <v>535</v>
      </c>
      <c r="B58" s="38" t="s">
        <v>446</v>
      </c>
      <c r="C58" s="38" t="s">
        <v>535</v>
      </c>
      <c r="D58" s="38" t="s">
        <v>336</v>
      </c>
      <c r="E58" s="38" t="n">
        <v>26</v>
      </c>
      <c r="F58" s="38" t="s">
        <v>535</v>
      </c>
      <c r="G58" s="38" t="s">
        <v>337</v>
      </c>
      <c r="H58" s="38" t="s">
        <v>338</v>
      </c>
      <c r="I58" s="38" t="s">
        <v>391</v>
      </c>
      <c r="J58" s="38" t="s">
        <v>483</v>
      </c>
      <c r="K58" s="38" t="s">
        <v>536</v>
      </c>
      <c r="L58" s="38" t="s">
        <v>476</v>
      </c>
      <c r="M58" s="35" t="s">
        <v>537</v>
      </c>
      <c r="N58" s="38" t="s">
        <v>344</v>
      </c>
      <c r="O58" s="38" t="s">
        <v>21</v>
      </c>
      <c r="P58" s="35"/>
    </row>
    <row r="59" customFormat="false" ht="12.75" hidden="false" customHeight="true" outlineLevel="0" collapsed="false">
      <c r="A59" s="39" t="s">
        <v>538</v>
      </c>
      <c r="B59" s="39" t="s">
        <v>446</v>
      </c>
      <c r="C59" s="39" t="s">
        <v>538</v>
      </c>
      <c r="D59" s="39" t="s">
        <v>336</v>
      </c>
      <c r="E59" s="39" t="n">
        <v>44</v>
      </c>
      <c r="F59" s="39" t="s">
        <v>538</v>
      </c>
      <c r="G59" s="39" t="s">
        <v>337</v>
      </c>
      <c r="H59" s="39" t="s">
        <v>348</v>
      </c>
      <c r="I59" s="39" t="s">
        <v>391</v>
      </c>
      <c r="J59" s="39" t="s">
        <v>474</v>
      </c>
      <c r="K59" s="39" t="s">
        <v>539</v>
      </c>
      <c r="L59" s="39" t="s">
        <v>485</v>
      </c>
      <c r="M59" s="10" t="s">
        <v>540</v>
      </c>
      <c r="N59" s="39" t="s">
        <v>344</v>
      </c>
      <c r="O59" s="39" t="s">
        <v>21</v>
      </c>
      <c r="P59" s="10"/>
    </row>
    <row r="60" customFormat="false" ht="12.75" hidden="false" customHeight="true" outlineLevel="0" collapsed="false">
      <c r="A60" s="38" t="s">
        <v>541</v>
      </c>
      <c r="B60" s="38" t="s">
        <v>446</v>
      </c>
      <c r="C60" s="38" t="s">
        <v>541</v>
      </c>
      <c r="D60" s="38" t="s">
        <v>336</v>
      </c>
      <c r="E60" s="38" t="n">
        <v>45</v>
      </c>
      <c r="F60" s="38" t="s">
        <v>541</v>
      </c>
      <c r="G60" s="38" t="s">
        <v>337</v>
      </c>
      <c r="H60" s="38" t="s">
        <v>348</v>
      </c>
      <c r="I60" s="38" t="s">
        <v>391</v>
      </c>
      <c r="J60" s="38" t="s">
        <v>474</v>
      </c>
      <c r="K60" s="38" t="s">
        <v>539</v>
      </c>
      <c r="L60" s="38" t="s">
        <v>485</v>
      </c>
      <c r="M60" s="35" t="s">
        <v>542</v>
      </c>
      <c r="N60" s="38" t="s">
        <v>344</v>
      </c>
      <c r="O60" s="38" t="s">
        <v>21</v>
      </c>
      <c r="P60" s="35"/>
    </row>
    <row r="61" customFormat="false" ht="12.75" hidden="false" customHeight="true" outlineLevel="0" collapsed="false">
      <c r="A61" s="39" t="s">
        <v>543</v>
      </c>
      <c r="B61" s="39" t="s">
        <v>544</v>
      </c>
      <c r="C61" s="39" t="s">
        <v>543</v>
      </c>
      <c r="D61" s="39" t="s">
        <v>336</v>
      </c>
      <c r="E61" s="39" t="n">
        <v>7</v>
      </c>
      <c r="F61" s="39" t="s">
        <v>543</v>
      </c>
      <c r="G61" s="39" t="s">
        <v>337</v>
      </c>
      <c r="H61" s="39" t="s">
        <v>338</v>
      </c>
      <c r="I61" s="39" t="s">
        <v>391</v>
      </c>
      <c r="J61" s="39" t="s">
        <v>545</v>
      </c>
      <c r="K61" s="39" t="s">
        <v>546</v>
      </c>
      <c r="L61" s="39" t="s">
        <v>547</v>
      </c>
      <c r="M61" s="10" t="s">
        <v>548</v>
      </c>
      <c r="N61" s="39" t="s">
        <v>344</v>
      </c>
      <c r="O61" s="39" t="s">
        <v>21</v>
      </c>
      <c r="P61" s="10"/>
    </row>
    <row r="62" customFormat="false" ht="12.75" hidden="false" customHeight="true" outlineLevel="0" collapsed="false">
      <c r="A62" s="38" t="s">
        <v>549</v>
      </c>
      <c r="B62" s="38" t="s">
        <v>544</v>
      </c>
      <c r="C62" s="38" t="s">
        <v>549</v>
      </c>
      <c r="D62" s="38" t="s">
        <v>336</v>
      </c>
      <c r="E62" s="38" t="n">
        <v>9</v>
      </c>
      <c r="F62" s="38" t="s">
        <v>549</v>
      </c>
      <c r="G62" s="38" t="s">
        <v>337</v>
      </c>
      <c r="H62" s="38" t="s">
        <v>338</v>
      </c>
      <c r="I62" s="38" t="s">
        <v>391</v>
      </c>
      <c r="J62" s="38" t="s">
        <v>545</v>
      </c>
      <c r="K62" s="38" t="s">
        <v>546</v>
      </c>
      <c r="L62" s="38" t="s">
        <v>547</v>
      </c>
      <c r="M62" s="35" t="s">
        <v>550</v>
      </c>
      <c r="N62" s="38" t="s">
        <v>344</v>
      </c>
      <c r="O62" s="38" t="s">
        <v>21</v>
      </c>
      <c r="P62" s="35"/>
    </row>
    <row r="63" customFormat="false" ht="12.75" hidden="false" customHeight="true" outlineLevel="0" collapsed="false">
      <c r="A63" s="39" t="s">
        <v>551</v>
      </c>
      <c r="B63" s="39" t="s">
        <v>544</v>
      </c>
      <c r="C63" s="39" t="s">
        <v>551</v>
      </c>
      <c r="D63" s="39" t="s">
        <v>336</v>
      </c>
      <c r="E63" s="39" t="n">
        <v>8</v>
      </c>
      <c r="F63" s="39" t="s">
        <v>551</v>
      </c>
      <c r="G63" s="39" t="s">
        <v>337</v>
      </c>
      <c r="H63" s="39" t="s">
        <v>338</v>
      </c>
      <c r="I63" s="39" t="s">
        <v>391</v>
      </c>
      <c r="J63" s="39" t="s">
        <v>545</v>
      </c>
      <c r="K63" s="39" t="s">
        <v>546</v>
      </c>
      <c r="L63" s="39" t="s">
        <v>547</v>
      </c>
      <c r="M63" s="10" t="s">
        <v>552</v>
      </c>
      <c r="N63" s="39" t="s">
        <v>344</v>
      </c>
      <c r="O63" s="39" t="s">
        <v>21</v>
      </c>
      <c r="P63" s="10"/>
    </row>
    <row r="64" customFormat="false" ht="12.75" hidden="false" customHeight="true" outlineLevel="0" collapsed="false">
      <c r="A64" s="38" t="s">
        <v>553</v>
      </c>
      <c r="B64" s="38" t="s">
        <v>544</v>
      </c>
      <c r="C64" s="38" t="s">
        <v>553</v>
      </c>
      <c r="D64" s="38" t="s">
        <v>336</v>
      </c>
      <c r="E64" s="38" t="n">
        <v>13</v>
      </c>
      <c r="F64" s="38" t="s">
        <v>553</v>
      </c>
      <c r="G64" s="38" t="s">
        <v>337</v>
      </c>
      <c r="H64" s="38" t="s">
        <v>338</v>
      </c>
      <c r="I64" s="38" t="s">
        <v>391</v>
      </c>
      <c r="J64" s="38" t="s">
        <v>545</v>
      </c>
      <c r="K64" s="38" t="s">
        <v>554</v>
      </c>
      <c r="L64" s="38" t="s">
        <v>547</v>
      </c>
      <c r="M64" s="35" t="s">
        <v>555</v>
      </c>
      <c r="N64" s="38" t="s">
        <v>344</v>
      </c>
      <c r="O64" s="38" t="s">
        <v>21</v>
      </c>
      <c r="P64" s="35"/>
    </row>
    <row r="65" customFormat="false" ht="12.75" hidden="false" customHeight="true" outlineLevel="0" collapsed="false">
      <c r="A65" s="41" t="s">
        <v>556</v>
      </c>
      <c r="B65" s="41" t="s">
        <v>544</v>
      </c>
      <c r="C65" s="41" t="s">
        <v>556</v>
      </c>
      <c r="D65" s="41" t="s">
        <v>336</v>
      </c>
      <c r="E65" s="41"/>
      <c r="F65" s="41"/>
      <c r="G65" s="41"/>
      <c r="H65" s="41"/>
      <c r="I65" s="41"/>
      <c r="J65" s="41"/>
      <c r="K65" s="41"/>
      <c r="L65" s="41"/>
      <c r="M65" s="42"/>
      <c r="N65" s="41" t="s">
        <v>372</v>
      </c>
      <c r="O65" s="41" t="s">
        <v>29</v>
      </c>
      <c r="P65" s="42"/>
    </row>
    <row r="66" customFormat="false" ht="12.75" hidden="false" customHeight="true" outlineLevel="0" collapsed="false">
      <c r="A66" s="38" t="s">
        <v>557</v>
      </c>
      <c r="B66" s="38" t="s">
        <v>544</v>
      </c>
      <c r="C66" s="38" t="s">
        <v>557</v>
      </c>
      <c r="D66" s="38" t="s">
        <v>336</v>
      </c>
      <c r="E66" s="38" t="n">
        <v>10</v>
      </c>
      <c r="F66" s="38" t="s">
        <v>557</v>
      </c>
      <c r="G66" s="38" t="s">
        <v>337</v>
      </c>
      <c r="H66" s="38" t="s">
        <v>338</v>
      </c>
      <c r="I66" s="38" t="s">
        <v>391</v>
      </c>
      <c r="J66" s="38" t="s">
        <v>545</v>
      </c>
      <c r="K66" s="38" t="s">
        <v>546</v>
      </c>
      <c r="L66" s="38" t="s">
        <v>547</v>
      </c>
      <c r="M66" s="35" t="s">
        <v>558</v>
      </c>
      <c r="N66" s="38" t="s">
        <v>344</v>
      </c>
      <c r="O66" s="38" t="s">
        <v>21</v>
      </c>
      <c r="P66" s="35"/>
    </row>
    <row r="67" customFormat="false" ht="12.75" hidden="false" customHeight="true" outlineLevel="0" collapsed="false">
      <c r="A67" s="39" t="s">
        <v>559</v>
      </c>
      <c r="B67" s="39" t="s">
        <v>544</v>
      </c>
      <c r="C67" s="39" t="s">
        <v>559</v>
      </c>
      <c r="D67" s="39" t="s">
        <v>336</v>
      </c>
      <c r="E67" s="39" t="n">
        <v>15</v>
      </c>
      <c r="F67" s="39" t="s">
        <v>559</v>
      </c>
      <c r="G67" s="39" t="s">
        <v>337</v>
      </c>
      <c r="H67" s="39" t="s">
        <v>338</v>
      </c>
      <c r="I67" s="39" t="s">
        <v>391</v>
      </c>
      <c r="J67" s="39" t="s">
        <v>545</v>
      </c>
      <c r="K67" s="39" t="s">
        <v>546</v>
      </c>
      <c r="L67" s="39" t="s">
        <v>547</v>
      </c>
      <c r="M67" s="10" t="s">
        <v>560</v>
      </c>
      <c r="N67" s="39" t="s">
        <v>344</v>
      </c>
      <c r="O67" s="39" t="s">
        <v>21</v>
      </c>
      <c r="P67" s="10"/>
    </row>
    <row r="68" customFormat="false" ht="12.75" hidden="false" customHeight="true" outlineLevel="0" collapsed="false">
      <c r="A68" s="38" t="s">
        <v>561</v>
      </c>
      <c r="B68" s="38" t="s">
        <v>544</v>
      </c>
      <c r="C68" s="38" t="s">
        <v>561</v>
      </c>
      <c r="D68" s="38" t="s">
        <v>336</v>
      </c>
      <c r="E68" s="38" t="n">
        <v>12</v>
      </c>
      <c r="F68" s="38" t="s">
        <v>561</v>
      </c>
      <c r="G68" s="38" t="s">
        <v>337</v>
      </c>
      <c r="H68" s="38" t="s">
        <v>338</v>
      </c>
      <c r="I68" s="38" t="s">
        <v>391</v>
      </c>
      <c r="J68" s="38" t="s">
        <v>545</v>
      </c>
      <c r="K68" s="38" t="s">
        <v>546</v>
      </c>
      <c r="L68" s="38" t="s">
        <v>547</v>
      </c>
      <c r="M68" s="35" t="s">
        <v>562</v>
      </c>
      <c r="N68" s="38" t="s">
        <v>344</v>
      </c>
      <c r="O68" s="38" t="s">
        <v>21</v>
      </c>
      <c r="P68" s="35"/>
    </row>
    <row r="69" customFormat="false" ht="12.75" hidden="false" customHeight="true" outlineLevel="0" collapsed="false">
      <c r="A69" s="39" t="s">
        <v>563</v>
      </c>
      <c r="B69" s="39" t="s">
        <v>544</v>
      </c>
      <c r="C69" s="39" t="s">
        <v>563</v>
      </c>
      <c r="D69" s="39" t="s">
        <v>336</v>
      </c>
      <c r="E69" s="39" t="n">
        <v>14</v>
      </c>
      <c r="F69" s="39" t="s">
        <v>563</v>
      </c>
      <c r="G69" s="39" t="s">
        <v>337</v>
      </c>
      <c r="H69" s="39" t="s">
        <v>338</v>
      </c>
      <c r="I69" s="39" t="s">
        <v>391</v>
      </c>
      <c r="J69" s="39" t="s">
        <v>545</v>
      </c>
      <c r="K69" s="39" t="s">
        <v>564</v>
      </c>
      <c r="L69" s="39" t="s">
        <v>547</v>
      </c>
      <c r="M69" s="10" t="s">
        <v>565</v>
      </c>
      <c r="N69" s="39" t="s">
        <v>344</v>
      </c>
      <c r="O69" s="39" t="s">
        <v>21</v>
      </c>
      <c r="P69" s="10"/>
    </row>
    <row r="70" customFormat="false" ht="12.75" hidden="false" customHeight="true" outlineLevel="0" collapsed="false">
      <c r="A70" s="38" t="s">
        <v>566</v>
      </c>
      <c r="B70" s="38" t="s">
        <v>544</v>
      </c>
      <c r="C70" s="38" t="s">
        <v>566</v>
      </c>
      <c r="D70" s="38" t="s">
        <v>336</v>
      </c>
      <c r="E70" s="38" t="n">
        <v>16</v>
      </c>
      <c r="F70" s="38" t="s">
        <v>566</v>
      </c>
      <c r="G70" s="38" t="s">
        <v>337</v>
      </c>
      <c r="H70" s="38" t="s">
        <v>348</v>
      </c>
      <c r="I70" s="38" t="s">
        <v>391</v>
      </c>
      <c r="J70" s="38" t="s">
        <v>545</v>
      </c>
      <c r="K70" s="38" t="s">
        <v>546</v>
      </c>
      <c r="L70" s="38" t="s">
        <v>547</v>
      </c>
      <c r="M70" s="35" t="s">
        <v>567</v>
      </c>
      <c r="N70" s="38" t="s">
        <v>344</v>
      </c>
      <c r="O70" s="38" t="s">
        <v>21</v>
      </c>
      <c r="P70" s="35"/>
    </row>
    <row r="71" customFormat="false" ht="12.75" hidden="false" customHeight="true" outlineLevel="0" collapsed="false">
      <c r="A71" s="39" t="s">
        <v>568</v>
      </c>
      <c r="B71" s="39" t="s">
        <v>544</v>
      </c>
      <c r="C71" s="39" t="s">
        <v>568</v>
      </c>
      <c r="D71" s="39" t="s">
        <v>336</v>
      </c>
      <c r="E71" s="39" t="n">
        <v>17</v>
      </c>
      <c r="F71" s="39" t="s">
        <v>568</v>
      </c>
      <c r="G71" s="39" t="s">
        <v>337</v>
      </c>
      <c r="H71" s="39" t="s">
        <v>348</v>
      </c>
      <c r="I71" s="39" t="s">
        <v>391</v>
      </c>
      <c r="J71" s="39" t="s">
        <v>545</v>
      </c>
      <c r="K71" s="39" t="s">
        <v>546</v>
      </c>
      <c r="L71" s="39" t="s">
        <v>547</v>
      </c>
      <c r="M71" s="10" t="s">
        <v>569</v>
      </c>
      <c r="N71" s="39" t="s">
        <v>344</v>
      </c>
      <c r="O71" s="39" t="s">
        <v>21</v>
      </c>
      <c r="P71" s="10"/>
    </row>
    <row r="72" customFormat="false" ht="12.75" hidden="false" customHeight="true" outlineLevel="0" collapsed="false">
      <c r="A72" s="38" t="s">
        <v>570</v>
      </c>
      <c r="B72" s="38" t="s">
        <v>571</v>
      </c>
      <c r="C72" s="38" t="s">
        <v>570</v>
      </c>
      <c r="D72" s="38" t="s">
        <v>572</v>
      </c>
      <c r="E72" s="38" t="n">
        <v>95</v>
      </c>
      <c r="F72" s="38" t="s">
        <v>570</v>
      </c>
      <c r="G72" s="38" t="s">
        <v>337</v>
      </c>
      <c r="H72" s="38" t="s">
        <v>338</v>
      </c>
      <c r="I72" s="38" t="s">
        <v>339</v>
      </c>
      <c r="J72" s="38" t="s">
        <v>453</v>
      </c>
      <c r="K72" s="38" t="s">
        <v>573</v>
      </c>
      <c r="L72" s="38" t="s">
        <v>455</v>
      </c>
      <c r="M72" s="35" t="s">
        <v>574</v>
      </c>
      <c r="N72" s="38" t="s">
        <v>344</v>
      </c>
      <c r="O72" s="38" t="s">
        <v>21</v>
      </c>
      <c r="P72" s="35"/>
    </row>
    <row r="73" customFormat="false" ht="12.75" hidden="false" customHeight="true" outlineLevel="0" collapsed="false">
      <c r="A73" s="39" t="s">
        <v>575</v>
      </c>
      <c r="B73" s="39" t="s">
        <v>571</v>
      </c>
      <c r="C73" s="39" t="s">
        <v>575</v>
      </c>
      <c r="D73" s="39" t="s">
        <v>336</v>
      </c>
      <c r="E73" s="39" t="n">
        <v>6</v>
      </c>
      <c r="F73" s="39" t="s">
        <v>575</v>
      </c>
      <c r="G73" s="39" t="s">
        <v>337</v>
      </c>
      <c r="H73" s="39" t="s">
        <v>348</v>
      </c>
      <c r="I73" s="39" t="s">
        <v>391</v>
      </c>
      <c r="J73" s="39" t="s">
        <v>447</v>
      </c>
      <c r="K73" s="39" t="s">
        <v>576</v>
      </c>
      <c r="L73" s="39" t="s">
        <v>476</v>
      </c>
      <c r="M73" s="10" t="s">
        <v>577</v>
      </c>
      <c r="N73" s="39" t="s">
        <v>344</v>
      </c>
      <c r="O73" s="39" t="s">
        <v>21</v>
      </c>
      <c r="P73" s="10"/>
    </row>
    <row r="74" customFormat="false" ht="12.75" hidden="false" customHeight="true" outlineLevel="0" collapsed="false">
      <c r="A74" s="38" t="s">
        <v>578</v>
      </c>
      <c r="B74" s="38" t="s">
        <v>579</v>
      </c>
      <c r="C74" s="38" t="s">
        <v>578</v>
      </c>
      <c r="D74" s="38" t="s">
        <v>336</v>
      </c>
      <c r="E74" s="38" t="n">
        <v>86</v>
      </c>
      <c r="F74" s="38" t="s">
        <v>578</v>
      </c>
      <c r="G74" s="38" t="s">
        <v>337</v>
      </c>
      <c r="H74" s="38" t="s">
        <v>338</v>
      </c>
      <c r="I74" s="38" t="s">
        <v>580</v>
      </c>
      <c r="J74" s="38" t="s">
        <v>581</v>
      </c>
      <c r="K74" s="38" t="s">
        <v>582</v>
      </c>
      <c r="L74" s="38" t="s">
        <v>583</v>
      </c>
      <c r="M74" s="35" t="s">
        <v>584</v>
      </c>
      <c r="N74" s="38" t="s">
        <v>344</v>
      </c>
      <c r="O74" s="38" t="s">
        <v>21</v>
      </c>
      <c r="P74" s="35"/>
    </row>
    <row r="75" customFormat="false" ht="12.75" hidden="false" customHeight="true" outlineLevel="0" collapsed="false">
      <c r="A75" s="39" t="s">
        <v>585</v>
      </c>
      <c r="B75" s="39" t="s">
        <v>579</v>
      </c>
      <c r="C75" s="39" t="s">
        <v>585</v>
      </c>
      <c r="D75" s="39" t="s">
        <v>336</v>
      </c>
      <c r="E75" s="39" t="n">
        <v>87</v>
      </c>
      <c r="F75" s="39" t="s">
        <v>585</v>
      </c>
      <c r="G75" s="39" t="s">
        <v>337</v>
      </c>
      <c r="H75" s="39" t="s">
        <v>348</v>
      </c>
      <c r="I75" s="39" t="s">
        <v>580</v>
      </c>
      <c r="J75" s="39" t="s">
        <v>581</v>
      </c>
      <c r="K75" s="39" t="s">
        <v>586</v>
      </c>
      <c r="L75" s="39" t="s">
        <v>587</v>
      </c>
      <c r="M75" s="10" t="s">
        <v>588</v>
      </c>
      <c r="N75" s="39" t="s">
        <v>344</v>
      </c>
      <c r="O75" s="39" t="s">
        <v>21</v>
      </c>
      <c r="P75" s="10"/>
    </row>
    <row r="76" customFormat="false" ht="12.75" hidden="false" customHeight="true" outlineLevel="0" collapsed="false">
      <c r="A76" s="41" t="s">
        <v>589</v>
      </c>
      <c r="B76" s="41" t="s">
        <v>579</v>
      </c>
      <c r="C76" s="41" t="s">
        <v>589</v>
      </c>
      <c r="D76" s="41" t="s">
        <v>336</v>
      </c>
      <c r="E76" s="41"/>
      <c r="F76" s="41"/>
      <c r="G76" s="41"/>
      <c r="H76" s="41"/>
      <c r="I76" s="41"/>
      <c r="J76" s="41"/>
      <c r="K76" s="41"/>
      <c r="L76" s="41"/>
      <c r="M76" s="42"/>
      <c r="N76" s="41" t="s">
        <v>372</v>
      </c>
      <c r="O76" s="41" t="s">
        <v>29</v>
      </c>
      <c r="P76" s="42"/>
    </row>
    <row r="77" customFormat="false" ht="12.75" hidden="false" customHeight="true" outlineLevel="0" collapsed="false">
      <c r="A77" s="39" t="s">
        <v>590</v>
      </c>
      <c r="B77" s="39" t="s">
        <v>591</v>
      </c>
      <c r="C77" s="39" t="s">
        <v>590</v>
      </c>
      <c r="D77" s="39" t="s">
        <v>572</v>
      </c>
      <c r="E77" s="39" t="n">
        <v>22</v>
      </c>
      <c r="F77" s="39" t="s">
        <v>590</v>
      </c>
      <c r="G77" s="39" t="s">
        <v>337</v>
      </c>
      <c r="H77" s="39" t="s">
        <v>338</v>
      </c>
      <c r="I77" s="39" t="s">
        <v>339</v>
      </c>
      <c r="J77" s="39" t="s">
        <v>592</v>
      </c>
      <c r="K77" s="39" t="s">
        <v>593</v>
      </c>
      <c r="L77" s="39" t="s">
        <v>594</v>
      </c>
      <c r="M77" s="10" t="s">
        <v>595</v>
      </c>
      <c r="N77" s="39" t="s">
        <v>344</v>
      </c>
      <c r="O77" s="39" t="s">
        <v>21</v>
      </c>
      <c r="P77" s="10"/>
    </row>
    <row r="78" customFormat="false" ht="12.75" hidden="false" customHeight="true" outlineLevel="0" collapsed="false">
      <c r="A78" s="41" t="s">
        <v>596</v>
      </c>
      <c r="B78" s="41" t="s">
        <v>591</v>
      </c>
      <c r="C78" s="41" t="s">
        <v>596</v>
      </c>
      <c r="D78" s="41" t="s">
        <v>597</v>
      </c>
      <c r="E78" s="41"/>
      <c r="F78" s="41"/>
      <c r="G78" s="41"/>
      <c r="H78" s="41"/>
      <c r="I78" s="41"/>
      <c r="J78" s="41"/>
      <c r="K78" s="41"/>
      <c r="L78" s="41"/>
      <c r="M78" s="42"/>
      <c r="N78" s="41" t="s">
        <v>372</v>
      </c>
      <c r="O78" s="41" t="s">
        <v>29</v>
      </c>
      <c r="P78" s="42"/>
    </row>
    <row r="79" customFormat="false" ht="12.75" hidden="false" customHeight="true" outlineLevel="0" collapsed="false">
      <c r="A79" s="39" t="s">
        <v>598</v>
      </c>
      <c r="B79" s="39" t="s">
        <v>591</v>
      </c>
      <c r="C79" s="39" t="s">
        <v>598</v>
      </c>
      <c r="D79" s="39" t="s">
        <v>336</v>
      </c>
      <c r="E79" s="39" t="n">
        <v>98</v>
      </c>
      <c r="F79" s="39" t="s">
        <v>598</v>
      </c>
      <c r="G79" s="39" t="s">
        <v>337</v>
      </c>
      <c r="H79" s="39" t="s">
        <v>348</v>
      </c>
      <c r="I79" s="39" t="s">
        <v>339</v>
      </c>
      <c r="J79" s="39" t="s">
        <v>592</v>
      </c>
      <c r="K79" s="39" t="s">
        <v>593</v>
      </c>
      <c r="L79" s="39" t="s">
        <v>594</v>
      </c>
      <c r="M79" s="10" t="s">
        <v>599</v>
      </c>
      <c r="N79" s="39" t="s">
        <v>344</v>
      </c>
      <c r="O79" s="39" t="s">
        <v>21</v>
      </c>
      <c r="P79" s="10"/>
    </row>
    <row r="80" customFormat="false" ht="12.75" hidden="false" customHeight="true" outlineLevel="0" collapsed="false">
      <c r="A80" s="38" t="s">
        <v>600</v>
      </c>
      <c r="B80" s="38" t="s">
        <v>591</v>
      </c>
      <c r="C80" s="38" t="s">
        <v>600</v>
      </c>
      <c r="D80" s="38" t="s">
        <v>336</v>
      </c>
      <c r="E80" s="38" t="n">
        <v>23</v>
      </c>
      <c r="F80" s="38" t="s">
        <v>600</v>
      </c>
      <c r="G80" s="38" t="s">
        <v>337</v>
      </c>
      <c r="H80" s="38" t="s">
        <v>338</v>
      </c>
      <c r="I80" s="38" t="s">
        <v>391</v>
      </c>
      <c r="J80" s="38" t="s">
        <v>592</v>
      </c>
      <c r="K80" s="38" t="s">
        <v>601</v>
      </c>
      <c r="L80" s="38" t="s">
        <v>594</v>
      </c>
      <c r="M80" s="35" t="s">
        <v>602</v>
      </c>
      <c r="N80" s="38" t="s">
        <v>344</v>
      </c>
      <c r="O80" s="38" t="s">
        <v>21</v>
      </c>
      <c r="P80" s="35"/>
    </row>
    <row r="81" customFormat="false" ht="12.75" hidden="false" customHeight="true" outlineLevel="0" collapsed="false">
      <c r="A81" s="39" t="s">
        <v>603</v>
      </c>
      <c r="B81" s="39" t="s">
        <v>604</v>
      </c>
      <c r="C81" s="39" t="s">
        <v>603</v>
      </c>
      <c r="D81" s="39" t="s">
        <v>336</v>
      </c>
      <c r="E81" s="39" t="n">
        <v>184</v>
      </c>
      <c r="F81" s="39" t="s">
        <v>603</v>
      </c>
      <c r="G81" s="39" t="s">
        <v>337</v>
      </c>
      <c r="H81" s="39" t="s">
        <v>338</v>
      </c>
      <c r="I81" s="39" t="s">
        <v>580</v>
      </c>
      <c r="J81" s="39" t="s">
        <v>488</v>
      </c>
      <c r="K81" s="39" t="s">
        <v>605</v>
      </c>
      <c r="L81" s="39" t="s">
        <v>594</v>
      </c>
      <c r="M81" s="10" t="s">
        <v>606</v>
      </c>
      <c r="N81" s="39" t="s">
        <v>344</v>
      </c>
      <c r="O81" s="39" t="s">
        <v>21</v>
      </c>
      <c r="P81" s="10"/>
    </row>
    <row r="82" customFormat="false" ht="12.75" hidden="false" customHeight="true" outlineLevel="0" collapsed="false">
      <c r="A82" s="41" t="s">
        <v>607</v>
      </c>
      <c r="B82" s="41" t="s">
        <v>604</v>
      </c>
      <c r="C82" s="41" t="s">
        <v>607</v>
      </c>
      <c r="D82" s="41" t="s">
        <v>336</v>
      </c>
      <c r="E82" s="41"/>
      <c r="F82" s="41"/>
      <c r="G82" s="41"/>
      <c r="H82" s="41"/>
      <c r="I82" s="41"/>
      <c r="J82" s="41"/>
      <c r="K82" s="41"/>
      <c r="L82" s="41"/>
      <c r="M82" s="42"/>
      <c r="N82" s="41" t="s">
        <v>372</v>
      </c>
      <c r="O82" s="41" t="s">
        <v>29</v>
      </c>
      <c r="P82" s="42"/>
    </row>
    <row r="83" customFormat="false" ht="12.75" hidden="false" customHeight="true" outlineLevel="0" collapsed="false">
      <c r="A83" s="41" t="s">
        <v>125</v>
      </c>
      <c r="B83" s="41" t="s">
        <v>608</v>
      </c>
      <c r="C83" s="41" t="s">
        <v>125</v>
      </c>
      <c r="D83" s="41" t="s">
        <v>336</v>
      </c>
      <c r="E83" s="41"/>
      <c r="F83" s="41"/>
      <c r="G83" s="41"/>
      <c r="H83" s="41"/>
      <c r="I83" s="41"/>
      <c r="J83" s="41"/>
      <c r="K83" s="41"/>
      <c r="L83" s="41"/>
      <c r="M83" s="42"/>
      <c r="N83" s="41" t="s">
        <v>372</v>
      </c>
      <c r="O83" s="41" t="s">
        <v>29</v>
      </c>
      <c r="P83" s="42"/>
    </row>
    <row r="84" customFormat="false" ht="12.75" hidden="false" customHeight="true" outlineLevel="0" collapsed="false">
      <c r="A84" s="38" t="s">
        <v>609</v>
      </c>
      <c r="B84" s="38" t="s">
        <v>608</v>
      </c>
      <c r="C84" s="38" t="s">
        <v>609</v>
      </c>
      <c r="D84" s="38" t="s">
        <v>336</v>
      </c>
      <c r="E84" s="38" t="n">
        <v>50</v>
      </c>
      <c r="F84" s="38" t="s">
        <v>609</v>
      </c>
      <c r="G84" s="38" t="s">
        <v>337</v>
      </c>
      <c r="H84" s="38" t="s">
        <v>338</v>
      </c>
      <c r="I84" s="38" t="s">
        <v>391</v>
      </c>
      <c r="J84" s="38" t="s">
        <v>610</v>
      </c>
      <c r="K84" s="38" t="s">
        <v>611</v>
      </c>
      <c r="L84" s="38" t="s">
        <v>612</v>
      </c>
      <c r="M84" s="35" t="s">
        <v>613</v>
      </c>
      <c r="N84" s="38" t="s">
        <v>344</v>
      </c>
      <c r="O84" s="38" t="s">
        <v>21</v>
      </c>
      <c r="P84" s="35"/>
    </row>
    <row r="85" customFormat="false" ht="12.75" hidden="false" customHeight="true" outlineLevel="0" collapsed="false">
      <c r="A85" s="41" t="s">
        <v>614</v>
      </c>
      <c r="B85" s="41" t="s">
        <v>608</v>
      </c>
      <c r="C85" s="41" t="s">
        <v>614</v>
      </c>
      <c r="D85" s="41" t="s">
        <v>336</v>
      </c>
      <c r="E85" s="41"/>
      <c r="F85" s="41"/>
      <c r="G85" s="41"/>
      <c r="H85" s="41"/>
      <c r="I85" s="41"/>
      <c r="J85" s="41"/>
      <c r="K85" s="41"/>
      <c r="L85" s="41"/>
      <c r="M85" s="42"/>
      <c r="N85" s="41" t="s">
        <v>372</v>
      </c>
      <c r="O85" s="41" t="s">
        <v>29</v>
      </c>
      <c r="P85" s="42"/>
    </row>
    <row r="86" customFormat="false" ht="12.75" hidden="false" customHeight="true" outlineLevel="0" collapsed="false">
      <c r="A86" s="38" t="s">
        <v>615</v>
      </c>
      <c r="B86" s="38" t="s">
        <v>616</v>
      </c>
      <c r="C86" s="38" t="s">
        <v>615</v>
      </c>
      <c r="D86" s="38" t="s">
        <v>336</v>
      </c>
      <c r="E86" s="38" t="n">
        <v>51</v>
      </c>
      <c r="F86" s="38" t="s">
        <v>615</v>
      </c>
      <c r="G86" s="38" t="s">
        <v>337</v>
      </c>
      <c r="H86" s="38" t="s">
        <v>338</v>
      </c>
      <c r="I86" s="38" t="s">
        <v>391</v>
      </c>
      <c r="J86" s="38" t="s">
        <v>378</v>
      </c>
      <c r="K86" s="38" t="s">
        <v>617</v>
      </c>
      <c r="L86" s="38" t="s">
        <v>380</v>
      </c>
      <c r="M86" s="35" t="s">
        <v>618</v>
      </c>
      <c r="N86" s="38" t="s">
        <v>344</v>
      </c>
      <c r="O86" s="38" t="s">
        <v>21</v>
      </c>
      <c r="P86" s="35"/>
    </row>
    <row r="87" customFormat="false" ht="12.75" hidden="false" customHeight="true" outlineLevel="0" collapsed="false">
      <c r="A87" s="39" t="s">
        <v>619</v>
      </c>
      <c r="B87" s="39" t="s">
        <v>616</v>
      </c>
      <c r="C87" s="39" t="s">
        <v>619</v>
      </c>
      <c r="D87" s="39" t="s">
        <v>336</v>
      </c>
      <c r="E87" s="39" t="n">
        <v>54</v>
      </c>
      <c r="F87" s="39" t="s">
        <v>619</v>
      </c>
      <c r="G87" s="39" t="s">
        <v>337</v>
      </c>
      <c r="H87" s="39" t="s">
        <v>338</v>
      </c>
      <c r="I87" s="39" t="s">
        <v>391</v>
      </c>
      <c r="J87" s="39" t="s">
        <v>378</v>
      </c>
      <c r="K87" s="39" t="s">
        <v>617</v>
      </c>
      <c r="L87" s="39" t="s">
        <v>380</v>
      </c>
      <c r="M87" s="10" t="s">
        <v>620</v>
      </c>
      <c r="N87" s="39" t="s">
        <v>344</v>
      </c>
      <c r="O87" s="39" t="s">
        <v>21</v>
      </c>
      <c r="P87" s="10"/>
    </row>
    <row r="88" customFormat="false" ht="12.75" hidden="false" customHeight="true" outlineLevel="0" collapsed="false">
      <c r="A88" s="41" t="s">
        <v>621</v>
      </c>
      <c r="B88" s="41" t="s">
        <v>616</v>
      </c>
      <c r="C88" s="41" t="s">
        <v>621</v>
      </c>
      <c r="D88" s="41" t="s">
        <v>336</v>
      </c>
      <c r="E88" s="41"/>
      <c r="F88" s="41"/>
      <c r="G88" s="41"/>
      <c r="H88" s="41"/>
      <c r="I88" s="41"/>
      <c r="J88" s="41"/>
      <c r="K88" s="41"/>
      <c r="L88" s="41"/>
      <c r="M88" s="42"/>
      <c r="N88" s="41" t="s">
        <v>372</v>
      </c>
      <c r="O88" s="41" t="s">
        <v>29</v>
      </c>
      <c r="P88" s="42"/>
    </row>
    <row r="89" customFormat="false" ht="12.75" hidden="false" customHeight="true" outlineLevel="0" collapsed="false">
      <c r="A89" s="39" t="s">
        <v>622</v>
      </c>
      <c r="B89" s="39" t="s">
        <v>616</v>
      </c>
      <c r="C89" s="39" t="s">
        <v>622</v>
      </c>
      <c r="D89" s="39" t="s">
        <v>336</v>
      </c>
      <c r="E89" s="39" t="n">
        <v>53</v>
      </c>
      <c r="F89" s="39" t="s">
        <v>622</v>
      </c>
      <c r="G89" s="39" t="s">
        <v>337</v>
      </c>
      <c r="H89" s="39" t="s">
        <v>338</v>
      </c>
      <c r="I89" s="39" t="s">
        <v>391</v>
      </c>
      <c r="J89" s="39" t="s">
        <v>378</v>
      </c>
      <c r="K89" s="39" t="s">
        <v>617</v>
      </c>
      <c r="L89" s="39" t="s">
        <v>380</v>
      </c>
      <c r="M89" s="10" t="s">
        <v>623</v>
      </c>
      <c r="N89" s="39" t="s">
        <v>344</v>
      </c>
      <c r="O89" s="39" t="s">
        <v>21</v>
      </c>
      <c r="P89" s="10"/>
    </row>
    <row r="90" customFormat="false" ht="12.75" hidden="false" customHeight="true" outlineLevel="0" collapsed="false">
      <c r="A90" s="41" t="s">
        <v>624</v>
      </c>
      <c r="B90" s="41" t="s">
        <v>616</v>
      </c>
      <c r="C90" s="41" t="s">
        <v>624</v>
      </c>
      <c r="D90" s="41" t="s">
        <v>336</v>
      </c>
      <c r="E90" s="41"/>
      <c r="F90" s="41"/>
      <c r="G90" s="41"/>
      <c r="H90" s="41"/>
      <c r="I90" s="41"/>
      <c r="J90" s="41"/>
      <c r="K90" s="41"/>
      <c r="L90" s="41"/>
      <c r="M90" s="42"/>
      <c r="N90" s="41" t="s">
        <v>372</v>
      </c>
      <c r="O90" s="41" t="s">
        <v>29</v>
      </c>
      <c r="P90" s="42"/>
    </row>
    <row r="91" customFormat="false" ht="12.75" hidden="false" customHeight="true" outlineLevel="0" collapsed="false">
      <c r="A91" s="39" t="s">
        <v>625</v>
      </c>
      <c r="B91" s="39" t="s">
        <v>626</v>
      </c>
      <c r="C91" s="39" t="s">
        <v>625</v>
      </c>
      <c r="D91" s="39" t="s">
        <v>336</v>
      </c>
      <c r="E91" s="39" t="n">
        <v>190</v>
      </c>
      <c r="F91" s="39" t="s">
        <v>625</v>
      </c>
      <c r="G91" s="39" t="s">
        <v>337</v>
      </c>
      <c r="H91" s="39" t="s">
        <v>338</v>
      </c>
      <c r="I91" s="39" t="s">
        <v>580</v>
      </c>
      <c r="J91" s="39" t="s">
        <v>340</v>
      </c>
      <c r="K91" s="39" t="s">
        <v>627</v>
      </c>
      <c r="L91" s="39" t="s">
        <v>612</v>
      </c>
      <c r="M91" s="10" t="s">
        <v>628</v>
      </c>
      <c r="N91" s="39" t="s">
        <v>344</v>
      </c>
      <c r="O91" s="39" t="s">
        <v>21</v>
      </c>
      <c r="P91" s="10"/>
    </row>
    <row r="92" customFormat="false" ht="12.75" hidden="false" customHeight="true" outlineLevel="0" collapsed="false">
      <c r="A92" s="38" t="s">
        <v>629</v>
      </c>
      <c r="B92" s="38" t="s">
        <v>626</v>
      </c>
      <c r="C92" s="38" t="s">
        <v>629</v>
      </c>
      <c r="D92" s="38" t="s">
        <v>336</v>
      </c>
      <c r="E92" s="38" t="n">
        <v>106</v>
      </c>
      <c r="F92" s="38" t="s">
        <v>215</v>
      </c>
      <c r="G92" s="38" t="s">
        <v>337</v>
      </c>
      <c r="H92" s="38" t="s">
        <v>338</v>
      </c>
      <c r="I92" s="38" t="s">
        <v>630</v>
      </c>
      <c r="J92" s="38" t="s">
        <v>631</v>
      </c>
      <c r="K92" s="38" t="s">
        <v>627</v>
      </c>
      <c r="L92" s="38" t="s">
        <v>612</v>
      </c>
      <c r="M92" s="35" t="s">
        <v>632</v>
      </c>
      <c r="N92" s="38" t="s">
        <v>344</v>
      </c>
      <c r="O92" s="40" t="s">
        <v>25</v>
      </c>
      <c r="P92" s="35"/>
    </row>
    <row r="93" customFormat="false" ht="12.75" hidden="false" customHeight="true" outlineLevel="0" collapsed="false">
      <c r="A93" s="39" t="s">
        <v>633</v>
      </c>
      <c r="B93" s="39" t="s">
        <v>626</v>
      </c>
      <c r="C93" s="39" t="s">
        <v>633</v>
      </c>
      <c r="D93" s="39" t="s">
        <v>336</v>
      </c>
      <c r="E93" s="39" t="n">
        <v>105</v>
      </c>
      <c r="F93" s="39" t="s">
        <v>633</v>
      </c>
      <c r="G93" s="39" t="s">
        <v>337</v>
      </c>
      <c r="H93" s="39" t="s">
        <v>338</v>
      </c>
      <c r="I93" s="39" t="s">
        <v>634</v>
      </c>
      <c r="J93" s="39" t="s">
        <v>631</v>
      </c>
      <c r="K93" s="39" t="s">
        <v>387</v>
      </c>
      <c r="L93" s="39" t="s">
        <v>612</v>
      </c>
      <c r="M93" s="10" t="s">
        <v>635</v>
      </c>
      <c r="N93" s="39" t="s">
        <v>344</v>
      </c>
      <c r="O93" s="39" t="s">
        <v>21</v>
      </c>
      <c r="P93" s="10"/>
    </row>
    <row r="94" customFormat="false" ht="12.75" hidden="false" customHeight="true" outlineLevel="0" collapsed="false">
      <c r="A94" s="38" t="s">
        <v>636</v>
      </c>
      <c r="B94" s="38" t="s">
        <v>626</v>
      </c>
      <c r="C94" s="38" t="s">
        <v>636</v>
      </c>
      <c r="D94" s="38" t="s">
        <v>336</v>
      </c>
      <c r="E94" s="38" t="n">
        <v>108</v>
      </c>
      <c r="F94" s="38" t="s">
        <v>636</v>
      </c>
      <c r="G94" s="38" t="s">
        <v>383</v>
      </c>
      <c r="H94" s="38" t="s">
        <v>348</v>
      </c>
      <c r="I94" s="38" t="s">
        <v>634</v>
      </c>
      <c r="J94" s="38" t="s">
        <v>631</v>
      </c>
      <c r="K94" s="38" t="s">
        <v>637</v>
      </c>
      <c r="L94" s="38" t="s">
        <v>612</v>
      </c>
      <c r="M94" s="35" t="s">
        <v>638</v>
      </c>
      <c r="N94" s="38" t="s">
        <v>344</v>
      </c>
      <c r="O94" s="38" t="s">
        <v>21</v>
      </c>
      <c r="P94" s="35"/>
    </row>
    <row r="95" customFormat="false" ht="12.75" hidden="false" customHeight="true" outlineLevel="0" collapsed="false">
      <c r="A95" s="39" t="s">
        <v>639</v>
      </c>
      <c r="B95" s="39" t="s">
        <v>626</v>
      </c>
      <c r="C95" s="39" t="s">
        <v>639</v>
      </c>
      <c r="D95" s="39" t="s">
        <v>336</v>
      </c>
      <c r="E95" s="39" t="n">
        <v>107</v>
      </c>
      <c r="F95" s="39" t="s">
        <v>639</v>
      </c>
      <c r="G95" s="39" t="s">
        <v>337</v>
      </c>
      <c r="H95" s="39" t="s">
        <v>348</v>
      </c>
      <c r="I95" s="39" t="s">
        <v>634</v>
      </c>
      <c r="J95" s="39" t="s">
        <v>631</v>
      </c>
      <c r="K95" s="39" t="s">
        <v>387</v>
      </c>
      <c r="L95" s="39" t="s">
        <v>612</v>
      </c>
      <c r="M95" s="10" t="s">
        <v>640</v>
      </c>
      <c r="N95" s="39" t="s">
        <v>344</v>
      </c>
      <c r="O95" s="39" t="s">
        <v>21</v>
      </c>
      <c r="P95" s="10"/>
    </row>
    <row r="96" customFormat="false" ht="12.75" hidden="false" customHeight="true" outlineLevel="0" collapsed="false">
      <c r="A96" s="38" t="s">
        <v>641</v>
      </c>
      <c r="B96" s="38" t="s">
        <v>626</v>
      </c>
      <c r="C96" s="38" t="s">
        <v>641</v>
      </c>
      <c r="D96" s="38" t="s">
        <v>336</v>
      </c>
      <c r="E96" s="38" t="n">
        <v>109</v>
      </c>
      <c r="F96" s="38" t="s">
        <v>642</v>
      </c>
      <c r="G96" s="38" t="s">
        <v>383</v>
      </c>
      <c r="H96" s="38" t="s">
        <v>348</v>
      </c>
      <c r="I96" s="38" t="s">
        <v>643</v>
      </c>
      <c r="J96" s="38" t="s">
        <v>631</v>
      </c>
      <c r="K96" s="38" t="s">
        <v>627</v>
      </c>
      <c r="L96" s="38" t="s">
        <v>612</v>
      </c>
      <c r="M96" s="35" t="s">
        <v>644</v>
      </c>
      <c r="N96" s="38" t="s">
        <v>344</v>
      </c>
      <c r="O96" s="40" t="s">
        <v>25</v>
      </c>
      <c r="P96" s="35"/>
    </row>
    <row r="97" customFormat="false" ht="12.75" hidden="false" customHeight="true" outlineLevel="0" collapsed="false">
      <c r="A97" s="41" t="s">
        <v>645</v>
      </c>
      <c r="B97" s="41" t="s">
        <v>626</v>
      </c>
      <c r="C97" s="41" t="s">
        <v>646</v>
      </c>
      <c r="D97" s="41" t="s">
        <v>336</v>
      </c>
      <c r="E97" s="41"/>
      <c r="F97" s="41"/>
      <c r="G97" s="41"/>
      <c r="H97" s="41"/>
      <c r="I97" s="41"/>
      <c r="J97" s="41"/>
      <c r="K97" s="41"/>
      <c r="L97" s="41"/>
      <c r="M97" s="42"/>
      <c r="N97" s="41" t="s">
        <v>372</v>
      </c>
      <c r="O97" s="41" t="s">
        <v>29</v>
      </c>
      <c r="P97" s="42"/>
    </row>
    <row r="98" customFormat="false" ht="12.75" hidden="false" customHeight="true" outlineLevel="0" collapsed="false">
      <c r="A98" s="38" t="s">
        <v>647</v>
      </c>
      <c r="B98" s="38" t="s">
        <v>626</v>
      </c>
      <c r="C98" s="38" t="s">
        <v>647</v>
      </c>
      <c r="D98" s="38" t="s">
        <v>336</v>
      </c>
      <c r="E98" s="38" t="n">
        <v>72</v>
      </c>
      <c r="F98" s="38" t="s">
        <v>647</v>
      </c>
      <c r="G98" s="38" t="s">
        <v>337</v>
      </c>
      <c r="H98" s="38" t="s">
        <v>348</v>
      </c>
      <c r="I98" s="38" t="s">
        <v>391</v>
      </c>
      <c r="J98" s="38" t="s">
        <v>648</v>
      </c>
      <c r="K98" s="38" t="s">
        <v>627</v>
      </c>
      <c r="L98" s="38" t="s">
        <v>612</v>
      </c>
      <c r="M98" s="35" t="s">
        <v>649</v>
      </c>
      <c r="N98" s="38" t="s">
        <v>344</v>
      </c>
      <c r="O98" s="38" t="s">
        <v>21</v>
      </c>
      <c r="P98" s="35"/>
    </row>
    <row r="99" customFormat="false" ht="12.75" hidden="false" customHeight="true" outlineLevel="0" collapsed="false">
      <c r="A99" s="39" t="s">
        <v>650</v>
      </c>
      <c r="B99" s="39" t="s">
        <v>626</v>
      </c>
      <c r="C99" s="39" t="s">
        <v>650</v>
      </c>
      <c r="D99" s="39" t="s">
        <v>336</v>
      </c>
      <c r="E99" s="39" t="n">
        <v>73</v>
      </c>
      <c r="F99" s="39" t="s">
        <v>650</v>
      </c>
      <c r="G99" s="39" t="s">
        <v>337</v>
      </c>
      <c r="H99" s="39" t="s">
        <v>348</v>
      </c>
      <c r="I99" s="39" t="s">
        <v>391</v>
      </c>
      <c r="J99" s="39" t="s">
        <v>648</v>
      </c>
      <c r="K99" s="39" t="s">
        <v>627</v>
      </c>
      <c r="L99" s="39" t="s">
        <v>612</v>
      </c>
      <c r="M99" s="10" t="s">
        <v>651</v>
      </c>
      <c r="N99" s="39" t="s">
        <v>344</v>
      </c>
      <c r="O99" s="39" t="s">
        <v>21</v>
      </c>
      <c r="P99" s="10"/>
    </row>
    <row r="100" customFormat="false" ht="12.75" hidden="false" customHeight="true" outlineLevel="0" collapsed="false">
      <c r="A100" s="41" t="s">
        <v>652</v>
      </c>
      <c r="B100" s="41" t="s">
        <v>653</v>
      </c>
      <c r="C100" s="41" t="s">
        <v>652</v>
      </c>
      <c r="D100" s="41" t="s">
        <v>336</v>
      </c>
      <c r="E100" s="41"/>
      <c r="F100" s="41"/>
      <c r="G100" s="41"/>
      <c r="H100" s="41"/>
      <c r="I100" s="41"/>
      <c r="J100" s="41"/>
      <c r="K100" s="41"/>
      <c r="L100" s="41"/>
      <c r="M100" s="42"/>
      <c r="N100" s="41" t="s">
        <v>372</v>
      </c>
      <c r="O100" s="41" t="s">
        <v>29</v>
      </c>
      <c r="P100" s="42"/>
    </row>
    <row r="101" customFormat="false" ht="12.75" hidden="false" customHeight="true" outlineLevel="0" collapsed="false">
      <c r="A101" s="39" t="s">
        <v>654</v>
      </c>
      <c r="B101" s="39" t="s">
        <v>653</v>
      </c>
      <c r="C101" s="39" t="s">
        <v>654</v>
      </c>
      <c r="D101" s="39" t="s">
        <v>336</v>
      </c>
      <c r="E101" s="39" t="n">
        <v>127</v>
      </c>
      <c r="F101" s="39" t="s">
        <v>654</v>
      </c>
      <c r="G101" s="39" t="s">
        <v>383</v>
      </c>
      <c r="H101" s="39" t="s">
        <v>338</v>
      </c>
      <c r="I101" s="39" t="s">
        <v>391</v>
      </c>
      <c r="J101" s="39" t="s">
        <v>488</v>
      </c>
      <c r="K101" s="39" t="s">
        <v>655</v>
      </c>
      <c r="L101" s="39" t="s">
        <v>506</v>
      </c>
      <c r="M101" s="10" t="s">
        <v>656</v>
      </c>
      <c r="N101" s="39" t="s">
        <v>344</v>
      </c>
      <c r="O101" s="39" t="s">
        <v>21</v>
      </c>
      <c r="P101" s="10"/>
    </row>
    <row r="102" customFormat="false" ht="12.75" hidden="false" customHeight="true" outlineLevel="0" collapsed="false">
      <c r="A102" s="38" t="s">
        <v>657</v>
      </c>
      <c r="B102" s="38" t="s">
        <v>653</v>
      </c>
      <c r="C102" s="38" t="s">
        <v>657</v>
      </c>
      <c r="D102" s="38" t="s">
        <v>336</v>
      </c>
      <c r="E102" s="38" t="n">
        <v>112</v>
      </c>
      <c r="F102" s="38" t="s">
        <v>657</v>
      </c>
      <c r="G102" s="38" t="s">
        <v>383</v>
      </c>
      <c r="H102" s="38" t="s">
        <v>338</v>
      </c>
      <c r="I102" s="38" t="s">
        <v>391</v>
      </c>
      <c r="J102" s="38" t="s">
        <v>392</v>
      </c>
      <c r="K102" s="38" t="s">
        <v>658</v>
      </c>
      <c r="L102" s="38" t="s">
        <v>476</v>
      </c>
      <c r="M102" s="35" t="s">
        <v>659</v>
      </c>
      <c r="N102" s="38" t="s">
        <v>344</v>
      </c>
      <c r="O102" s="38" t="s">
        <v>21</v>
      </c>
      <c r="P102" s="35"/>
    </row>
    <row r="103" customFormat="false" ht="12.75" hidden="false" customHeight="true" outlineLevel="0" collapsed="false">
      <c r="A103" s="39" t="s">
        <v>290</v>
      </c>
      <c r="B103" s="39" t="s">
        <v>653</v>
      </c>
      <c r="C103" s="39" t="s">
        <v>290</v>
      </c>
      <c r="D103" s="39" t="s">
        <v>336</v>
      </c>
      <c r="E103" s="39" t="n">
        <v>113</v>
      </c>
      <c r="F103" s="39" t="s">
        <v>290</v>
      </c>
      <c r="G103" s="39" t="s">
        <v>383</v>
      </c>
      <c r="H103" s="39" t="s">
        <v>338</v>
      </c>
      <c r="I103" s="39" t="s">
        <v>391</v>
      </c>
      <c r="J103" s="39" t="s">
        <v>392</v>
      </c>
      <c r="K103" s="39" t="s">
        <v>341</v>
      </c>
      <c r="L103" s="39" t="s">
        <v>342</v>
      </c>
      <c r="M103" s="10" t="s">
        <v>660</v>
      </c>
      <c r="N103" s="39" t="s">
        <v>344</v>
      </c>
      <c r="O103" s="39" t="s">
        <v>21</v>
      </c>
      <c r="P103" s="10"/>
    </row>
    <row r="104" customFormat="false" ht="12.75" hidden="false" customHeight="true" outlineLevel="0" collapsed="false">
      <c r="A104" s="38" t="s">
        <v>661</v>
      </c>
      <c r="B104" s="38" t="s">
        <v>653</v>
      </c>
      <c r="C104" s="38" t="s">
        <v>661</v>
      </c>
      <c r="D104" s="38" t="s">
        <v>336</v>
      </c>
      <c r="E104" s="38" t="n">
        <v>128</v>
      </c>
      <c r="F104" s="38" t="s">
        <v>661</v>
      </c>
      <c r="G104" s="38" t="s">
        <v>383</v>
      </c>
      <c r="H104" s="38" t="s">
        <v>338</v>
      </c>
      <c r="I104" s="38" t="s">
        <v>391</v>
      </c>
      <c r="J104" s="38" t="s">
        <v>483</v>
      </c>
      <c r="K104" s="38" t="s">
        <v>464</v>
      </c>
      <c r="L104" s="38" t="s">
        <v>476</v>
      </c>
      <c r="M104" s="35" t="s">
        <v>662</v>
      </c>
      <c r="N104" s="38" t="s">
        <v>344</v>
      </c>
      <c r="O104" s="38" t="s">
        <v>21</v>
      </c>
      <c r="P104" s="35"/>
    </row>
    <row r="105" customFormat="false" ht="12.75" hidden="false" customHeight="true" outlineLevel="0" collapsed="false">
      <c r="A105" s="39" t="s">
        <v>663</v>
      </c>
      <c r="B105" s="39" t="s">
        <v>653</v>
      </c>
      <c r="C105" s="39" t="s">
        <v>663</v>
      </c>
      <c r="D105" s="39" t="s">
        <v>336</v>
      </c>
      <c r="E105" s="39" t="n">
        <v>129</v>
      </c>
      <c r="F105" s="39" t="s">
        <v>663</v>
      </c>
      <c r="G105" s="39" t="s">
        <v>383</v>
      </c>
      <c r="H105" s="39" t="s">
        <v>338</v>
      </c>
      <c r="I105" s="39" t="s">
        <v>391</v>
      </c>
      <c r="J105" s="39" t="s">
        <v>483</v>
      </c>
      <c r="K105" s="39" t="s">
        <v>464</v>
      </c>
      <c r="L105" s="39" t="s">
        <v>476</v>
      </c>
      <c r="M105" s="10" t="s">
        <v>664</v>
      </c>
      <c r="N105" s="39" t="s">
        <v>344</v>
      </c>
      <c r="O105" s="39" t="s">
        <v>21</v>
      </c>
      <c r="P105" s="10"/>
    </row>
    <row r="106" customFormat="false" ht="12.75" hidden="false" customHeight="true" outlineLevel="0" collapsed="false">
      <c r="A106" s="38" t="s">
        <v>665</v>
      </c>
      <c r="B106" s="38" t="s">
        <v>653</v>
      </c>
      <c r="C106" s="38" t="s">
        <v>665</v>
      </c>
      <c r="D106" s="38" t="s">
        <v>336</v>
      </c>
      <c r="E106" s="38" t="n">
        <v>130</v>
      </c>
      <c r="F106" s="38" t="s">
        <v>665</v>
      </c>
      <c r="G106" s="38" t="s">
        <v>383</v>
      </c>
      <c r="H106" s="38" t="s">
        <v>338</v>
      </c>
      <c r="I106" s="38" t="s">
        <v>391</v>
      </c>
      <c r="J106" s="38" t="s">
        <v>648</v>
      </c>
      <c r="K106" s="38" t="s">
        <v>627</v>
      </c>
      <c r="L106" s="38" t="s">
        <v>612</v>
      </c>
      <c r="M106" s="35" t="s">
        <v>666</v>
      </c>
      <c r="N106" s="38" t="s">
        <v>344</v>
      </c>
      <c r="O106" s="38" t="s">
        <v>21</v>
      </c>
      <c r="P106" s="35"/>
    </row>
    <row r="107" customFormat="false" ht="12.75" hidden="false" customHeight="true" outlineLevel="0" collapsed="false">
      <c r="A107" s="39" t="s">
        <v>667</v>
      </c>
      <c r="B107" s="39" t="s">
        <v>653</v>
      </c>
      <c r="C107" s="39" t="s">
        <v>667</v>
      </c>
      <c r="D107" s="39" t="s">
        <v>336</v>
      </c>
      <c r="E107" s="39" t="n">
        <v>131</v>
      </c>
      <c r="F107" s="39" t="s">
        <v>667</v>
      </c>
      <c r="G107" s="39" t="s">
        <v>383</v>
      </c>
      <c r="H107" s="39" t="s">
        <v>338</v>
      </c>
      <c r="I107" s="39" t="s">
        <v>391</v>
      </c>
      <c r="J107" s="39" t="s">
        <v>648</v>
      </c>
      <c r="K107" s="39" t="s">
        <v>593</v>
      </c>
      <c r="L107" s="39" t="s">
        <v>594</v>
      </c>
      <c r="M107" s="10" t="s">
        <v>668</v>
      </c>
      <c r="N107" s="39" t="s">
        <v>344</v>
      </c>
      <c r="O107" s="39" t="s">
        <v>21</v>
      </c>
      <c r="P107" s="10"/>
    </row>
    <row r="108" customFormat="false" ht="12.75" hidden="false" customHeight="true" outlineLevel="0" collapsed="false">
      <c r="A108" s="41" t="s">
        <v>669</v>
      </c>
      <c r="B108" s="41" t="s">
        <v>653</v>
      </c>
      <c r="C108" s="41" t="s">
        <v>669</v>
      </c>
      <c r="D108" s="41" t="s">
        <v>336</v>
      </c>
      <c r="E108" s="41"/>
      <c r="F108" s="41"/>
      <c r="G108" s="41"/>
      <c r="H108" s="41"/>
      <c r="I108" s="41"/>
      <c r="J108" s="41"/>
      <c r="K108" s="41"/>
      <c r="L108" s="41"/>
      <c r="M108" s="42"/>
      <c r="N108" s="41" t="s">
        <v>372</v>
      </c>
      <c r="O108" s="41" t="s">
        <v>29</v>
      </c>
      <c r="P108" s="42"/>
    </row>
    <row r="109" customFormat="false" ht="12.75" hidden="false" customHeight="true" outlineLevel="0" collapsed="false">
      <c r="A109" s="39" t="s">
        <v>670</v>
      </c>
      <c r="B109" s="39" t="s">
        <v>653</v>
      </c>
      <c r="C109" s="39" t="s">
        <v>670</v>
      </c>
      <c r="D109" s="39" t="s">
        <v>336</v>
      </c>
      <c r="E109" s="39" t="n">
        <v>143</v>
      </c>
      <c r="F109" s="39" t="s">
        <v>670</v>
      </c>
      <c r="G109" s="39" t="s">
        <v>383</v>
      </c>
      <c r="H109" s="39" t="s">
        <v>338</v>
      </c>
      <c r="I109" s="39" t="s">
        <v>391</v>
      </c>
      <c r="J109" s="39" t="s">
        <v>488</v>
      </c>
      <c r="K109" s="39" t="s">
        <v>655</v>
      </c>
      <c r="L109" s="39" t="s">
        <v>506</v>
      </c>
      <c r="M109" s="10" t="s">
        <v>671</v>
      </c>
      <c r="N109" s="39" t="s">
        <v>344</v>
      </c>
      <c r="O109" s="39" t="s">
        <v>21</v>
      </c>
      <c r="P109" s="10"/>
    </row>
    <row r="110" customFormat="false" ht="12.75" hidden="false" customHeight="true" outlineLevel="0" collapsed="false">
      <c r="A110" s="38" t="s">
        <v>672</v>
      </c>
      <c r="B110" s="38" t="s">
        <v>653</v>
      </c>
      <c r="C110" s="38" t="s">
        <v>672</v>
      </c>
      <c r="D110" s="38" t="s">
        <v>336</v>
      </c>
      <c r="E110" s="38" t="n">
        <v>114</v>
      </c>
      <c r="F110" s="38" t="s">
        <v>672</v>
      </c>
      <c r="G110" s="38" t="s">
        <v>383</v>
      </c>
      <c r="H110" s="38" t="s">
        <v>338</v>
      </c>
      <c r="I110" s="38" t="s">
        <v>391</v>
      </c>
      <c r="J110" s="38" t="s">
        <v>392</v>
      </c>
      <c r="K110" s="38" t="s">
        <v>673</v>
      </c>
      <c r="L110" s="38" t="s">
        <v>342</v>
      </c>
      <c r="M110" s="35" t="s">
        <v>674</v>
      </c>
      <c r="N110" s="38" t="s">
        <v>344</v>
      </c>
      <c r="O110" s="38" t="s">
        <v>21</v>
      </c>
      <c r="P110" s="35"/>
    </row>
    <row r="111" customFormat="false" ht="12.75" hidden="false" customHeight="true" outlineLevel="0" collapsed="false">
      <c r="A111" s="39" t="s">
        <v>675</v>
      </c>
      <c r="B111" s="39" t="s">
        <v>653</v>
      </c>
      <c r="C111" s="39" t="s">
        <v>675</v>
      </c>
      <c r="D111" s="39" t="s">
        <v>336</v>
      </c>
      <c r="E111" s="39" t="n">
        <v>137</v>
      </c>
      <c r="F111" s="39" t="s">
        <v>675</v>
      </c>
      <c r="G111" s="39" t="s">
        <v>383</v>
      </c>
      <c r="H111" s="39" t="s">
        <v>338</v>
      </c>
      <c r="I111" s="39" t="s">
        <v>391</v>
      </c>
      <c r="J111" s="39" t="s">
        <v>355</v>
      </c>
      <c r="K111" s="39" t="s">
        <v>676</v>
      </c>
      <c r="L111" s="39" t="s">
        <v>342</v>
      </c>
      <c r="M111" s="10" t="s">
        <v>677</v>
      </c>
      <c r="N111" s="39" t="s">
        <v>344</v>
      </c>
      <c r="O111" s="39" t="s">
        <v>21</v>
      </c>
      <c r="P111" s="10"/>
    </row>
    <row r="112" customFormat="false" ht="12.75" hidden="false" customHeight="true" outlineLevel="0" collapsed="false">
      <c r="A112" s="38" t="s">
        <v>678</v>
      </c>
      <c r="B112" s="38" t="s">
        <v>653</v>
      </c>
      <c r="C112" s="38" t="s">
        <v>678</v>
      </c>
      <c r="D112" s="38" t="s">
        <v>336</v>
      </c>
      <c r="E112" s="38" t="n">
        <v>132</v>
      </c>
      <c r="F112" s="38" t="s">
        <v>678</v>
      </c>
      <c r="G112" s="38" t="s">
        <v>383</v>
      </c>
      <c r="H112" s="38" t="s">
        <v>338</v>
      </c>
      <c r="I112" s="38" t="s">
        <v>391</v>
      </c>
      <c r="J112" s="38" t="s">
        <v>648</v>
      </c>
      <c r="K112" s="38" t="s">
        <v>627</v>
      </c>
      <c r="L112" s="38" t="s">
        <v>612</v>
      </c>
      <c r="M112" s="35" t="s">
        <v>679</v>
      </c>
      <c r="N112" s="38" t="s">
        <v>344</v>
      </c>
      <c r="O112" s="38" t="s">
        <v>21</v>
      </c>
      <c r="P112" s="35"/>
    </row>
    <row r="113" customFormat="false" ht="12.75" hidden="false" customHeight="true" outlineLevel="0" collapsed="false">
      <c r="A113" s="39" t="s">
        <v>680</v>
      </c>
      <c r="B113" s="39" t="s">
        <v>653</v>
      </c>
      <c r="C113" s="39" t="s">
        <v>680</v>
      </c>
      <c r="D113" s="39" t="s">
        <v>336</v>
      </c>
      <c r="E113" s="39" t="n">
        <v>76</v>
      </c>
      <c r="F113" s="39" t="s">
        <v>680</v>
      </c>
      <c r="G113" s="39" t="s">
        <v>383</v>
      </c>
      <c r="H113" s="39" t="s">
        <v>338</v>
      </c>
      <c r="I113" s="39" t="s">
        <v>391</v>
      </c>
      <c r="J113" s="39" t="s">
        <v>392</v>
      </c>
      <c r="K113" s="39" t="s">
        <v>681</v>
      </c>
      <c r="L113" s="39" t="s">
        <v>612</v>
      </c>
      <c r="M113" s="10" t="s">
        <v>682</v>
      </c>
      <c r="N113" s="39" t="s">
        <v>344</v>
      </c>
      <c r="O113" s="39" t="s">
        <v>21</v>
      </c>
      <c r="P113" s="10"/>
    </row>
    <row r="114" customFormat="false" ht="12.75" hidden="false" customHeight="true" outlineLevel="0" collapsed="false">
      <c r="A114" s="38" t="s">
        <v>683</v>
      </c>
      <c r="B114" s="38" t="s">
        <v>653</v>
      </c>
      <c r="C114" s="38" t="s">
        <v>683</v>
      </c>
      <c r="D114" s="38" t="s">
        <v>336</v>
      </c>
      <c r="E114" s="38" t="n">
        <v>144</v>
      </c>
      <c r="F114" s="38" t="s">
        <v>683</v>
      </c>
      <c r="G114" s="38" t="s">
        <v>383</v>
      </c>
      <c r="H114" s="38" t="s">
        <v>338</v>
      </c>
      <c r="I114" s="38" t="s">
        <v>391</v>
      </c>
      <c r="J114" s="38" t="s">
        <v>648</v>
      </c>
      <c r="K114" s="38" t="s">
        <v>684</v>
      </c>
      <c r="L114" s="38" t="s">
        <v>684</v>
      </c>
      <c r="M114" s="35" t="s">
        <v>685</v>
      </c>
      <c r="N114" s="38" t="s">
        <v>344</v>
      </c>
      <c r="O114" s="38" t="s">
        <v>21</v>
      </c>
      <c r="P114" s="35"/>
    </row>
    <row r="115" customFormat="false" ht="12.75" hidden="false" customHeight="true" outlineLevel="0" collapsed="false">
      <c r="A115" s="39" t="s">
        <v>686</v>
      </c>
      <c r="B115" s="39" t="s">
        <v>653</v>
      </c>
      <c r="C115" s="39" t="s">
        <v>686</v>
      </c>
      <c r="D115" s="39" t="s">
        <v>336</v>
      </c>
      <c r="E115" s="39" t="n">
        <v>145</v>
      </c>
      <c r="F115" s="39" t="s">
        <v>686</v>
      </c>
      <c r="G115" s="39" t="s">
        <v>383</v>
      </c>
      <c r="H115" s="39" t="s">
        <v>338</v>
      </c>
      <c r="I115" s="39" t="s">
        <v>391</v>
      </c>
      <c r="J115" s="39" t="s">
        <v>648</v>
      </c>
      <c r="K115" s="39" t="s">
        <v>684</v>
      </c>
      <c r="L115" s="39" t="s">
        <v>684</v>
      </c>
      <c r="M115" s="10" t="s">
        <v>687</v>
      </c>
      <c r="N115" s="39" t="s">
        <v>344</v>
      </c>
      <c r="O115" s="39" t="s">
        <v>21</v>
      </c>
      <c r="P115" s="10"/>
    </row>
    <row r="116" customFormat="false" ht="12.75" hidden="false" customHeight="true" outlineLevel="0" collapsed="false">
      <c r="A116" s="38" t="s">
        <v>688</v>
      </c>
      <c r="B116" s="38" t="s">
        <v>653</v>
      </c>
      <c r="C116" s="38" t="s">
        <v>688</v>
      </c>
      <c r="D116" s="38" t="s">
        <v>336</v>
      </c>
      <c r="E116" s="38" t="n">
        <v>146</v>
      </c>
      <c r="F116" s="38" t="s">
        <v>688</v>
      </c>
      <c r="G116" s="38" t="s">
        <v>383</v>
      </c>
      <c r="H116" s="38" t="s">
        <v>338</v>
      </c>
      <c r="I116" s="38" t="s">
        <v>391</v>
      </c>
      <c r="J116" s="38" t="s">
        <v>648</v>
      </c>
      <c r="K116" s="38" t="s">
        <v>684</v>
      </c>
      <c r="L116" s="38" t="s">
        <v>684</v>
      </c>
      <c r="M116" s="35" t="s">
        <v>689</v>
      </c>
      <c r="N116" s="38" t="s">
        <v>344</v>
      </c>
      <c r="O116" s="38" t="s">
        <v>21</v>
      </c>
      <c r="P116" s="35"/>
    </row>
    <row r="117" customFormat="false" ht="12.75" hidden="false" customHeight="true" outlineLevel="0" collapsed="false">
      <c r="A117" s="39" t="s">
        <v>690</v>
      </c>
      <c r="B117" s="39" t="s">
        <v>653</v>
      </c>
      <c r="C117" s="39" t="s">
        <v>690</v>
      </c>
      <c r="D117" s="39" t="s">
        <v>336</v>
      </c>
      <c r="E117" s="39" t="n">
        <v>147</v>
      </c>
      <c r="F117" s="39" t="s">
        <v>690</v>
      </c>
      <c r="G117" s="39" t="s">
        <v>383</v>
      </c>
      <c r="H117" s="39" t="s">
        <v>338</v>
      </c>
      <c r="I117" s="39" t="s">
        <v>391</v>
      </c>
      <c r="J117" s="39" t="s">
        <v>631</v>
      </c>
      <c r="K117" s="39" t="s">
        <v>627</v>
      </c>
      <c r="L117" s="39" t="s">
        <v>612</v>
      </c>
      <c r="M117" s="10" t="s">
        <v>691</v>
      </c>
      <c r="N117" s="39" t="s">
        <v>344</v>
      </c>
      <c r="O117" s="39" t="s">
        <v>21</v>
      </c>
      <c r="P117" s="10"/>
    </row>
    <row r="118" customFormat="false" ht="12.75" hidden="false" customHeight="true" outlineLevel="0" collapsed="false">
      <c r="A118" s="38" t="s">
        <v>692</v>
      </c>
      <c r="B118" s="38" t="s">
        <v>653</v>
      </c>
      <c r="C118" s="38" t="s">
        <v>692</v>
      </c>
      <c r="D118" s="38" t="s">
        <v>336</v>
      </c>
      <c r="E118" s="38" t="n">
        <v>126</v>
      </c>
      <c r="F118" s="38" t="s">
        <v>692</v>
      </c>
      <c r="G118" s="38" t="s">
        <v>383</v>
      </c>
      <c r="H118" s="38" t="s">
        <v>338</v>
      </c>
      <c r="I118" s="38" t="s">
        <v>391</v>
      </c>
      <c r="J118" s="38" t="s">
        <v>355</v>
      </c>
      <c r="K118" s="38" t="s">
        <v>341</v>
      </c>
      <c r="L118" s="38" t="s">
        <v>342</v>
      </c>
      <c r="M118" s="35" t="s">
        <v>693</v>
      </c>
      <c r="N118" s="38" t="s">
        <v>344</v>
      </c>
      <c r="O118" s="38" t="s">
        <v>21</v>
      </c>
      <c r="P118" s="35"/>
    </row>
    <row r="119" customFormat="false" ht="12.75" hidden="false" customHeight="true" outlineLevel="0" collapsed="false">
      <c r="A119" s="39" t="s">
        <v>694</v>
      </c>
      <c r="B119" s="39" t="s">
        <v>653</v>
      </c>
      <c r="C119" s="39" t="s">
        <v>694</v>
      </c>
      <c r="D119" s="39" t="s">
        <v>336</v>
      </c>
      <c r="E119" s="39" t="n">
        <v>148</v>
      </c>
      <c r="F119" s="39" t="s">
        <v>694</v>
      </c>
      <c r="G119" s="39" t="s">
        <v>383</v>
      </c>
      <c r="H119" s="39" t="s">
        <v>338</v>
      </c>
      <c r="I119" s="39" t="s">
        <v>391</v>
      </c>
      <c r="J119" s="39" t="s">
        <v>648</v>
      </c>
      <c r="K119" s="39" t="s">
        <v>684</v>
      </c>
      <c r="L119" s="39" t="s">
        <v>684</v>
      </c>
      <c r="M119" s="10" t="s">
        <v>695</v>
      </c>
      <c r="N119" s="39" t="s">
        <v>344</v>
      </c>
      <c r="O119" s="39" t="s">
        <v>21</v>
      </c>
      <c r="P119" s="10"/>
    </row>
    <row r="120" customFormat="false" ht="12.75" hidden="false" customHeight="true" outlineLevel="0" collapsed="false">
      <c r="A120" s="38" t="s">
        <v>696</v>
      </c>
      <c r="B120" s="38" t="s">
        <v>653</v>
      </c>
      <c r="C120" s="38" t="s">
        <v>696</v>
      </c>
      <c r="D120" s="38" t="s">
        <v>336</v>
      </c>
      <c r="E120" s="38" t="n">
        <v>133</v>
      </c>
      <c r="F120" s="38" t="s">
        <v>696</v>
      </c>
      <c r="G120" s="38" t="s">
        <v>383</v>
      </c>
      <c r="H120" s="38" t="s">
        <v>338</v>
      </c>
      <c r="I120" s="38" t="s">
        <v>391</v>
      </c>
      <c r="J120" s="38" t="s">
        <v>488</v>
      </c>
      <c r="K120" s="38" t="s">
        <v>505</v>
      </c>
      <c r="L120" s="38" t="s">
        <v>506</v>
      </c>
      <c r="M120" s="35" t="s">
        <v>697</v>
      </c>
      <c r="N120" s="38" t="s">
        <v>344</v>
      </c>
      <c r="O120" s="38" t="s">
        <v>21</v>
      </c>
      <c r="P120" s="35"/>
    </row>
    <row r="121" customFormat="false" ht="12.75" hidden="false" customHeight="true" outlineLevel="0" collapsed="false">
      <c r="A121" s="39" t="s">
        <v>698</v>
      </c>
      <c r="B121" s="39" t="s">
        <v>653</v>
      </c>
      <c r="C121" s="39" t="s">
        <v>698</v>
      </c>
      <c r="D121" s="39" t="s">
        <v>336</v>
      </c>
      <c r="E121" s="39" t="n">
        <v>177</v>
      </c>
      <c r="F121" s="39" t="s">
        <v>699</v>
      </c>
      <c r="G121" s="39" t="s">
        <v>383</v>
      </c>
      <c r="H121" s="39" t="s">
        <v>348</v>
      </c>
      <c r="I121" s="39" t="s">
        <v>391</v>
      </c>
      <c r="J121" s="39" t="s">
        <v>648</v>
      </c>
      <c r="K121" s="39" t="s">
        <v>684</v>
      </c>
      <c r="L121" s="39" t="s">
        <v>684</v>
      </c>
      <c r="M121" s="10" t="s">
        <v>700</v>
      </c>
      <c r="N121" s="39" t="s">
        <v>344</v>
      </c>
      <c r="O121" s="40" t="s">
        <v>27</v>
      </c>
      <c r="P121" s="10"/>
    </row>
    <row r="122" customFormat="false" ht="12.75" hidden="false" customHeight="true" outlineLevel="0" collapsed="false">
      <c r="A122" s="38" t="s">
        <v>701</v>
      </c>
      <c r="B122" s="38" t="s">
        <v>653</v>
      </c>
      <c r="C122" s="38" t="s">
        <v>701</v>
      </c>
      <c r="D122" s="38" t="s">
        <v>336</v>
      </c>
      <c r="E122" s="38" t="n">
        <v>134</v>
      </c>
      <c r="F122" s="38" t="s">
        <v>701</v>
      </c>
      <c r="G122" s="38" t="s">
        <v>383</v>
      </c>
      <c r="H122" s="38" t="s">
        <v>338</v>
      </c>
      <c r="I122" s="38" t="s">
        <v>391</v>
      </c>
      <c r="J122" s="38" t="s">
        <v>453</v>
      </c>
      <c r="K122" s="38" t="s">
        <v>627</v>
      </c>
      <c r="L122" s="38" t="s">
        <v>612</v>
      </c>
      <c r="M122" s="35" t="s">
        <v>702</v>
      </c>
      <c r="N122" s="38" t="s">
        <v>344</v>
      </c>
      <c r="O122" s="38" t="s">
        <v>21</v>
      </c>
      <c r="P122" s="35"/>
    </row>
    <row r="123" customFormat="false" ht="12.75" hidden="false" customHeight="true" outlineLevel="0" collapsed="false">
      <c r="A123" s="39" t="s">
        <v>703</v>
      </c>
      <c r="B123" s="39" t="s">
        <v>653</v>
      </c>
      <c r="C123" s="39" t="s">
        <v>703</v>
      </c>
      <c r="D123" s="39" t="s">
        <v>336</v>
      </c>
      <c r="E123" s="39" t="n">
        <v>135</v>
      </c>
      <c r="F123" s="39" t="s">
        <v>703</v>
      </c>
      <c r="G123" s="39" t="s">
        <v>383</v>
      </c>
      <c r="H123" s="39" t="s">
        <v>338</v>
      </c>
      <c r="I123" s="39" t="s">
        <v>391</v>
      </c>
      <c r="J123" s="39" t="s">
        <v>340</v>
      </c>
      <c r="K123" s="39" t="s">
        <v>627</v>
      </c>
      <c r="L123" s="39" t="s">
        <v>612</v>
      </c>
      <c r="M123" s="10" t="s">
        <v>704</v>
      </c>
      <c r="N123" s="39" t="s">
        <v>344</v>
      </c>
      <c r="O123" s="39" t="s">
        <v>21</v>
      </c>
      <c r="P123" s="10"/>
    </row>
    <row r="124" customFormat="false" ht="12.75" hidden="false" customHeight="true" outlineLevel="0" collapsed="false">
      <c r="A124" s="38" t="s">
        <v>705</v>
      </c>
      <c r="B124" s="38" t="s">
        <v>653</v>
      </c>
      <c r="C124" s="38" t="s">
        <v>705</v>
      </c>
      <c r="D124" s="38" t="s">
        <v>336</v>
      </c>
      <c r="E124" s="38" t="n">
        <v>136</v>
      </c>
      <c r="F124" s="38" t="s">
        <v>705</v>
      </c>
      <c r="G124" s="38" t="s">
        <v>383</v>
      </c>
      <c r="H124" s="38" t="s">
        <v>338</v>
      </c>
      <c r="I124" s="38" t="s">
        <v>391</v>
      </c>
      <c r="J124" s="38" t="s">
        <v>648</v>
      </c>
      <c r="K124" s="38" t="s">
        <v>627</v>
      </c>
      <c r="L124" s="38" t="s">
        <v>612</v>
      </c>
      <c r="M124" s="35" t="s">
        <v>706</v>
      </c>
      <c r="N124" s="38" t="s">
        <v>344</v>
      </c>
      <c r="O124" s="38" t="s">
        <v>21</v>
      </c>
      <c r="P124" s="35"/>
    </row>
    <row r="125" customFormat="false" ht="12.75" hidden="false" customHeight="true" outlineLevel="0" collapsed="false">
      <c r="A125" s="39" t="s">
        <v>707</v>
      </c>
      <c r="B125" s="39" t="s">
        <v>653</v>
      </c>
      <c r="C125" s="39" t="s">
        <v>707</v>
      </c>
      <c r="D125" s="39" t="s">
        <v>336</v>
      </c>
      <c r="E125" s="39" t="n">
        <v>115</v>
      </c>
      <c r="F125" s="39" t="s">
        <v>707</v>
      </c>
      <c r="G125" s="39" t="s">
        <v>383</v>
      </c>
      <c r="H125" s="39" t="s">
        <v>338</v>
      </c>
      <c r="I125" s="39" t="s">
        <v>391</v>
      </c>
      <c r="J125" s="39" t="s">
        <v>392</v>
      </c>
      <c r="K125" s="39" t="s">
        <v>505</v>
      </c>
      <c r="L125" s="39" t="s">
        <v>506</v>
      </c>
      <c r="M125" s="10" t="s">
        <v>708</v>
      </c>
      <c r="N125" s="39" t="s">
        <v>344</v>
      </c>
      <c r="O125" s="39" t="s">
        <v>21</v>
      </c>
      <c r="P125" s="10"/>
    </row>
    <row r="126" customFormat="false" ht="12.75" hidden="false" customHeight="true" outlineLevel="0" collapsed="false">
      <c r="A126" s="38" t="s">
        <v>709</v>
      </c>
      <c r="B126" s="38" t="s">
        <v>653</v>
      </c>
      <c r="C126" s="38" t="s">
        <v>709</v>
      </c>
      <c r="D126" s="38" t="s">
        <v>336</v>
      </c>
      <c r="E126" s="38" t="n">
        <v>116</v>
      </c>
      <c r="F126" s="38" t="s">
        <v>709</v>
      </c>
      <c r="G126" s="38" t="s">
        <v>383</v>
      </c>
      <c r="H126" s="38" t="s">
        <v>338</v>
      </c>
      <c r="I126" s="38" t="s">
        <v>391</v>
      </c>
      <c r="J126" s="38" t="s">
        <v>392</v>
      </c>
      <c r="K126" s="38" t="s">
        <v>710</v>
      </c>
      <c r="L126" s="38" t="s">
        <v>506</v>
      </c>
      <c r="M126" s="35" t="s">
        <v>711</v>
      </c>
      <c r="N126" s="38" t="s">
        <v>344</v>
      </c>
      <c r="O126" s="38" t="s">
        <v>21</v>
      </c>
      <c r="P126" s="35"/>
    </row>
    <row r="127" customFormat="false" ht="12.75" hidden="false" customHeight="true" outlineLevel="0" collapsed="false">
      <c r="A127" s="39" t="s">
        <v>712</v>
      </c>
      <c r="B127" s="39" t="s">
        <v>653</v>
      </c>
      <c r="C127" s="39" t="s">
        <v>712</v>
      </c>
      <c r="D127" s="39" t="s">
        <v>336</v>
      </c>
      <c r="E127" s="39" t="n">
        <v>142</v>
      </c>
      <c r="F127" s="39" t="s">
        <v>712</v>
      </c>
      <c r="G127" s="39" t="s">
        <v>383</v>
      </c>
      <c r="H127" s="39" t="s">
        <v>338</v>
      </c>
      <c r="I127" s="39" t="s">
        <v>391</v>
      </c>
      <c r="J127" s="39" t="s">
        <v>631</v>
      </c>
      <c r="K127" s="39" t="s">
        <v>627</v>
      </c>
      <c r="L127" s="39" t="s">
        <v>612</v>
      </c>
      <c r="M127" s="10" t="s">
        <v>713</v>
      </c>
      <c r="N127" s="39" t="s">
        <v>344</v>
      </c>
      <c r="O127" s="39" t="s">
        <v>21</v>
      </c>
      <c r="P127" s="10"/>
    </row>
    <row r="128" customFormat="false" ht="12.75" hidden="false" customHeight="true" outlineLevel="0" collapsed="false">
      <c r="A128" s="38" t="s">
        <v>714</v>
      </c>
      <c r="B128" s="38" t="s">
        <v>653</v>
      </c>
      <c r="C128" s="38" t="s">
        <v>714</v>
      </c>
      <c r="D128" s="38" t="s">
        <v>336</v>
      </c>
      <c r="E128" s="38" t="n">
        <v>77</v>
      </c>
      <c r="F128" s="38" t="s">
        <v>714</v>
      </c>
      <c r="G128" s="38" t="s">
        <v>383</v>
      </c>
      <c r="H128" s="38" t="s">
        <v>338</v>
      </c>
      <c r="I128" s="38" t="s">
        <v>391</v>
      </c>
      <c r="J128" s="38" t="s">
        <v>392</v>
      </c>
      <c r="K128" s="38" t="s">
        <v>627</v>
      </c>
      <c r="L128" s="38" t="s">
        <v>612</v>
      </c>
      <c r="M128" s="35" t="s">
        <v>715</v>
      </c>
      <c r="N128" s="38" t="s">
        <v>344</v>
      </c>
      <c r="O128" s="38" t="s">
        <v>21</v>
      </c>
      <c r="P128" s="35"/>
    </row>
    <row r="129" customFormat="false" ht="12.75" hidden="false" customHeight="true" outlineLevel="0" collapsed="false">
      <c r="A129" s="39" t="s">
        <v>716</v>
      </c>
      <c r="B129" s="39" t="s">
        <v>653</v>
      </c>
      <c r="C129" s="39" t="s">
        <v>716</v>
      </c>
      <c r="D129" s="39" t="s">
        <v>336</v>
      </c>
      <c r="E129" s="39" t="n">
        <v>141</v>
      </c>
      <c r="F129" s="39" t="s">
        <v>716</v>
      </c>
      <c r="G129" s="39" t="s">
        <v>383</v>
      </c>
      <c r="H129" s="39" t="s">
        <v>338</v>
      </c>
      <c r="I129" s="39" t="s">
        <v>391</v>
      </c>
      <c r="J129" s="39" t="s">
        <v>648</v>
      </c>
      <c r="K129" s="39" t="s">
        <v>627</v>
      </c>
      <c r="L129" s="39" t="s">
        <v>612</v>
      </c>
      <c r="M129" s="10" t="s">
        <v>717</v>
      </c>
      <c r="N129" s="39" t="s">
        <v>344</v>
      </c>
      <c r="O129" s="39" t="s">
        <v>21</v>
      </c>
      <c r="P129" s="10"/>
    </row>
    <row r="130" customFormat="false" ht="12.75" hidden="false" customHeight="true" outlineLevel="0" collapsed="false">
      <c r="A130" s="38" t="s">
        <v>718</v>
      </c>
      <c r="B130" s="38" t="s">
        <v>653</v>
      </c>
      <c r="C130" s="38" t="s">
        <v>718</v>
      </c>
      <c r="D130" s="38" t="s">
        <v>336</v>
      </c>
      <c r="E130" s="38" t="n">
        <v>138</v>
      </c>
      <c r="F130" s="38" t="s">
        <v>718</v>
      </c>
      <c r="G130" s="38" t="s">
        <v>383</v>
      </c>
      <c r="H130" s="38" t="s">
        <v>338</v>
      </c>
      <c r="I130" s="38" t="s">
        <v>391</v>
      </c>
      <c r="J130" s="38" t="s">
        <v>648</v>
      </c>
      <c r="K130" s="38" t="s">
        <v>593</v>
      </c>
      <c r="L130" s="38" t="s">
        <v>594</v>
      </c>
      <c r="M130" s="35" t="s">
        <v>719</v>
      </c>
      <c r="N130" s="38" t="s">
        <v>344</v>
      </c>
      <c r="O130" s="38" t="s">
        <v>21</v>
      </c>
      <c r="P130" s="35"/>
    </row>
    <row r="131" customFormat="false" ht="12.75" hidden="false" customHeight="true" outlineLevel="0" collapsed="false">
      <c r="A131" s="39" t="s">
        <v>720</v>
      </c>
      <c r="B131" s="39" t="s">
        <v>653</v>
      </c>
      <c r="C131" s="39" t="s">
        <v>720</v>
      </c>
      <c r="D131" s="39" t="s">
        <v>336</v>
      </c>
      <c r="E131" s="39" t="n">
        <v>125</v>
      </c>
      <c r="F131" s="39" t="s">
        <v>720</v>
      </c>
      <c r="G131" s="39" t="s">
        <v>383</v>
      </c>
      <c r="H131" s="39" t="s">
        <v>338</v>
      </c>
      <c r="I131" s="39" t="s">
        <v>391</v>
      </c>
      <c r="J131" s="39" t="s">
        <v>340</v>
      </c>
      <c r="K131" s="39" t="s">
        <v>627</v>
      </c>
      <c r="L131" s="39" t="s">
        <v>612</v>
      </c>
      <c r="M131" s="10" t="s">
        <v>721</v>
      </c>
      <c r="N131" s="39" t="s">
        <v>344</v>
      </c>
      <c r="O131" s="39" t="s">
        <v>21</v>
      </c>
      <c r="P131" s="10"/>
    </row>
    <row r="132" customFormat="false" ht="12.75" hidden="false" customHeight="true" outlineLevel="0" collapsed="false">
      <c r="A132" s="38" t="s">
        <v>722</v>
      </c>
      <c r="B132" s="38" t="s">
        <v>653</v>
      </c>
      <c r="C132" s="38" t="s">
        <v>722</v>
      </c>
      <c r="D132" s="38" t="s">
        <v>336</v>
      </c>
      <c r="E132" s="38" t="n">
        <v>149</v>
      </c>
      <c r="F132" s="38" t="s">
        <v>722</v>
      </c>
      <c r="G132" s="38" t="s">
        <v>383</v>
      </c>
      <c r="H132" s="38" t="s">
        <v>338</v>
      </c>
      <c r="I132" s="38" t="s">
        <v>391</v>
      </c>
      <c r="J132" s="38" t="s">
        <v>631</v>
      </c>
      <c r="K132" s="38" t="s">
        <v>723</v>
      </c>
      <c r="L132" s="38" t="s">
        <v>612</v>
      </c>
      <c r="M132" s="35" t="s">
        <v>724</v>
      </c>
      <c r="N132" s="38" t="s">
        <v>344</v>
      </c>
      <c r="O132" s="38" t="s">
        <v>21</v>
      </c>
      <c r="P132" s="35"/>
    </row>
    <row r="133" customFormat="false" ht="12.75" hidden="false" customHeight="true" outlineLevel="0" collapsed="false">
      <c r="A133" s="39" t="s">
        <v>725</v>
      </c>
      <c r="B133" s="39" t="s">
        <v>653</v>
      </c>
      <c r="C133" s="39" t="s">
        <v>725</v>
      </c>
      <c r="D133" s="39" t="s">
        <v>336</v>
      </c>
      <c r="E133" s="39" t="n">
        <v>150</v>
      </c>
      <c r="F133" s="39" t="s">
        <v>725</v>
      </c>
      <c r="G133" s="39" t="s">
        <v>383</v>
      </c>
      <c r="H133" s="39" t="s">
        <v>338</v>
      </c>
      <c r="I133" s="39" t="s">
        <v>391</v>
      </c>
      <c r="J133" s="39" t="s">
        <v>488</v>
      </c>
      <c r="K133" s="39" t="s">
        <v>655</v>
      </c>
      <c r="L133" s="39" t="s">
        <v>506</v>
      </c>
      <c r="M133" s="10" t="s">
        <v>726</v>
      </c>
      <c r="N133" s="39" t="s">
        <v>344</v>
      </c>
      <c r="O133" s="39" t="s">
        <v>21</v>
      </c>
      <c r="P133" s="10"/>
    </row>
    <row r="134" customFormat="false" ht="12.75" hidden="false" customHeight="true" outlineLevel="0" collapsed="false">
      <c r="A134" s="41" t="s">
        <v>727</v>
      </c>
      <c r="B134" s="41" t="s">
        <v>653</v>
      </c>
      <c r="C134" s="41" t="s">
        <v>727</v>
      </c>
      <c r="D134" s="41" t="s">
        <v>336</v>
      </c>
      <c r="E134" s="41"/>
      <c r="F134" s="41"/>
      <c r="G134" s="41"/>
      <c r="H134" s="41"/>
      <c r="I134" s="41"/>
      <c r="J134" s="41"/>
      <c r="K134" s="41"/>
      <c r="L134" s="41"/>
      <c r="M134" s="42"/>
      <c r="N134" s="41" t="s">
        <v>372</v>
      </c>
      <c r="O134" s="41" t="s">
        <v>29</v>
      </c>
      <c r="P134" s="42"/>
    </row>
    <row r="135" customFormat="false" ht="12.75" hidden="false" customHeight="true" outlineLevel="0" collapsed="false">
      <c r="A135" s="39" t="s">
        <v>728</v>
      </c>
      <c r="B135" s="39" t="s">
        <v>653</v>
      </c>
      <c r="C135" s="39" t="s">
        <v>728</v>
      </c>
      <c r="D135" s="39" t="s">
        <v>336</v>
      </c>
      <c r="E135" s="39" t="n">
        <v>118</v>
      </c>
      <c r="F135" s="39" t="s">
        <v>728</v>
      </c>
      <c r="G135" s="39" t="s">
        <v>383</v>
      </c>
      <c r="H135" s="39" t="s">
        <v>338</v>
      </c>
      <c r="I135" s="39" t="s">
        <v>391</v>
      </c>
      <c r="J135" s="39" t="s">
        <v>392</v>
      </c>
      <c r="K135" s="39" t="s">
        <v>673</v>
      </c>
      <c r="L135" s="39" t="s">
        <v>342</v>
      </c>
      <c r="M135" s="10" t="s">
        <v>729</v>
      </c>
      <c r="N135" s="39" t="s">
        <v>344</v>
      </c>
      <c r="O135" s="39" t="s">
        <v>21</v>
      </c>
      <c r="P135" s="10"/>
    </row>
    <row r="136" customFormat="false" ht="12.75" hidden="false" customHeight="true" outlineLevel="0" collapsed="false">
      <c r="A136" s="38" t="s">
        <v>730</v>
      </c>
      <c r="B136" s="38" t="s">
        <v>653</v>
      </c>
      <c r="C136" s="38" t="s">
        <v>730</v>
      </c>
      <c r="D136" s="38" t="s">
        <v>336</v>
      </c>
      <c r="E136" s="38" t="n">
        <v>119</v>
      </c>
      <c r="F136" s="38" t="s">
        <v>730</v>
      </c>
      <c r="G136" s="38" t="s">
        <v>383</v>
      </c>
      <c r="H136" s="38" t="s">
        <v>338</v>
      </c>
      <c r="I136" s="38" t="s">
        <v>391</v>
      </c>
      <c r="J136" s="38" t="s">
        <v>378</v>
      </c>
      <c r="K136" s="38" t="s">
        <v>617</v>
      </c>
      <c r="L136" s="38" t="s">
        <v>380</v>
      </c>
      <c r="M136" s="35" t="s">
        <v>731</v>
      </c>
      <c r="N136" s="38" t="s">
        <v>344</v>
      </c>
      <c r="O136" s="38" t="s">
        <v>21</v>
      </c>
      <c r="P136" s="35"/>
    </row>
    <row r="137" customFormat="false" ht="12.75" hidden="false" customHeight="true" outlineLevel="0" collapsed="false">
      <c r="A137" s="39" t="s">
        <v>732</v>
      </c>
      <c r="B137" s="39" t="s">
        <v>653</v>
      </c>
      <c r="C137" s="39" t="s">
        <v>732</v>
      </c>
      <c r="D137" s="39" t="s">
        <v>336</v>
      </c>
      <c r="E137" s="39" t="n">
        <v>151</v>
      </c>
      <c r="F137" s="39" t="s">
        <v>732</v>
      </c>
      <c r="G137" s="39" t="s">
        <v>383</v>
      </c>
      <c r="H137" s="39" t="s">
        <v>338</v>
      </c>
      <c r="I137" s="39" t="s">
        <v>391</v>
      </c>
      <c r="J137" s="39" t="s">
        <v>483</v>
      </c>
      <c r="K137" s="39" t="s">
        <v>684</v>
      </c>
      <c r="L137" s="39" t="s">
        <v>684</v>
      </c>
      <c r="M137" s="10" t="s">
        <v>733</v>
      </c>
      <c r="N137" s="39" t="s">
        <v>344</v>
      </c>
      <c r="O137" s="39" t="s">
        <v>21</v>
      </c>
      <c r="P137" s="10"/>
    </row>
    <row r="138" customFormat="false" ht="12.75" hidden="false" customHeight="true" outlineLevel="0" collapsed="false">
      <c r="A138" s="38" t="s">
        <v>734</v>
      </c>
      <c r="B138" s="38" t="s">
        <v>653</v>
      </c>
      <c r="C138" s="38" t="s">
        <v>734</v>
      </c>
      <c r="D138" s="38" t="s">
        <v>336</v>
      </c>
      <c r="E138" s="38" t="n">
        <v>140</v>
      </c>
      <c r="F138" s="38" t="s">
        <v>734</v>
      </c>
      <c r="G138" s="38" t="s">
        <v>383</v>
      </c>
      <c r="H138" s="38" t="s">
        <v>338</v>
      </c>
      <c r="I138" s="38" t="s">
        <v>391</v>
      </c>
      <c r="J138" s="38" t="s">
        <v>581</v>
      </c>
      <c r="K138" s="38" t="s">
        <v>723</v>
      </c>
      <c r="L138" s="38" t="s">
        <v>485</v>
      </c>
      <c r="M138" s="35" t="s">
        <v>735</v>
      </c>
      <c r="N138" s="38" t="s">
        <v>344</v>
      </c>
      <c r="O138" s="38" t="s">
        <v>21</v>
      </c>
      <c r="P138" s="35"/>
    </row>
    <row r="139" customFormat="false" ht="12.75" hidden="false" customHeight="true" outlineLevel="0" collapsed="false">
      <c r="A139" s="39" t="s">
        <v>736</v>
      </c>
      <c r="B139" s="39" t="s">
        <v>653</v>
      </c>
      <c r="C139" s="39" t="s">
        <v>736</v>
      </c>
      <c r="D139" s="39" t="s">
        <v>336</v>
      </c>
      <c r="E139" s="39" t="n">
        <v>139</v>
      </c>
      <c r="F139" s="39" t="s">
        <v>736</v>
      </c>
      <c r="G139" s="39" t="s">
        <v>383</v>
      </c>
      <c r="H139" s="39" t="s">
        <v>338</v>
      </c>
      <c r="I139" s="39" t="s">
        <v>391</v>
      </c>
      <c r="J139" s="39" t="s">
        <v>483</v>
      </c>
      <c r="K139" s="39" t="s">
        <v>464</v>
      </c>
      <c r="L139" s="39" t="s">
        <v>476</v>
      </c>
      <c r="M139" s="10" t="s">
        <v>737</v>
      </c>
      <c r="N139" s="39" t="s">
        <v>344</v>
      </c>
      <c r="O139" s="39" t="s">
        <v>21</v>
      </c>
      <c r="P139" s="10"/>
    </row>
    <row r="140" customFormat="false" ht="12.75" hidden="false" customHeight="true" outlineLevel="0" collapsed="false">
      <c r="A140" s="38" t="s">
        <v>738</v>
      </c>
      <c r="B140" s="38" t="s">
        <v>653</v>
      </c>
      <c r="C140" s="38" t="s">
        <v>738</v>
      </c>
      <c r="D140" s="38" t="s">
        <v>336</v>
      </c>
      <c r="E140" s="38" t="n">
        <v>120</v>
      </c>
      <c r="F140" s="38" t="s">
        <v>738</v>
      </c>
      <c r="G140" s="38" t="s">
        <v>383</v>
      </c>
      <c r="H140" s="38" t="s">
        <v>338</v>
      </c>
      <c r="I140" s="38" t="s">
        <v>391</v>
      </c>
      <c r="J140" s="38" t="s">
        <v>392</v>
      </c>
      <c r="K140" s="38" t="s">
        <v>673</v>
      </c>
      <c r="L140" s="38" t="s">
        <v>342</v>
      </c>
      <c r="M140" s="35" t="s">
        <v>739</v>
      </c>
      <c r="N140" s="38" t="s">
        <v>344</v>
      </c>
      <c r="O140" s="38" t="s">
        <v>21</v>
      </c>
      <c r="P140" s="35"/>
    </row>
    <row r="141" customFormat="false" ht="12.75" hidden="false" customHeight="true" outlineLevel="0" collapsed="false">
      <c r="A141" s="39" t="s">
        <v>740</v>
      </c>
      <c r="B141" s="39" t="s">
        <v>653</v>
      </c>
      <c r="C141" s="39" t="s">
        <v>740</v>
      </c>
      <c r="D141" s="39" t="s">
        <v>336</v>
      </c>
      <c r="E141" s="39" t="n">
        <v>121</v>
      </c>
      <c r="F141" s="39" t="s">
        <v>740</v>
      </c>
      <c r="G141" s="39" t="s">
        <v>383</v>
      </c>
      <c r="H141" s="39" t="s">
        <v>338</v>
      </c>
      <c r="I141" s="39" t="s">
        <v>391</v>
      </c>
      <c r="J141" s="39" t="s">
        <v>392</v>
      </c>
      <c r="K141" s="39" t="s">
        <v>505</v>
      </c>
      <c r="L141" s="39" t="s">
        <v>506</v>
      </c>
      <c r="M141" s="10" t="s">
        <v>741</v>
      </c>
      <c r="N141" s="39" t="s">
        <v>344</v>
      </c>
      <c r="O141" s="39" t="s">
        <v>21</v>
      </c>
      <c r="P141" s="10"/>
    </row>
    <row r="142" customFormat="false" ht="12.75" hidden="false" customHeight="true" outlineLevel="0" collapsed="false">
      <c r="A142" s="38" t="s">
        <v>742</v>
      </c>
      <c r="B142" s="38" t="s">
        <v>653</v>
      </c>
      <c r="C142" s="38" t="s">
        <v>742</v>
      </c>
      <c r="D142" s="38" t="s">
        <v>336</v>
      </c>
      <c r="E142" s="38" t="n">
        <v>152</v>
      </c>
      <c r="F142" s="38" t="s">
        <v>742</v>
      </c>
      <c r="G142" s="38" t="s">
        <v>383</v>
      </c>
      <c r="H142" s="38" t="s">
        <v>338</v>
      </c>
      <c r="I142" s="38" t="s">
        <v>391</v>
      </c>
      <c r="J142" s="38" t="s">
        <v>648</v>
      </c>
      <c r="K142" s="38" t="s">
        <v>684</v>
      </c>
      <c r="L142" s="38" t="s">
        <v>684</v>
      </c>
      <c r="M142" s="35" t="s">
        <v>743</v>
      </c>
      <c r="N142" s="38" t="s">
        <v>344</v>
      </c>
      <c r="O142" s="38" t="s">
        <v>21</v>
      </c>
      <c r="P142" s="35"/>
    </row>
    <row r="143" customFormat="false" ht="12.75" hidden="false" customHeight="true" outlineLevel="0" collapsed="false">
      <c r="A143" s="39" t="s">
        <v>744</v>
      </c>
      <c r="B143" s="39" t="s">
        <v>653</v>
      </c>
      <c r="C143" s="39" t="s">
        <v>744</v>
      </c>
      <c r="D143" s="39" t="s">
        <v>336</v>
      </c>
      <c r="E143" s="39" t="n">
        <v>122</v>
      </c>
      <c r="F143" s="39" t="s">
        <v>744</v>
      </c>
      <c r="G143" s="39" t="s">
        <v>383</v>
      </c>
      <c r="H143" s="39" t="s">
        <v>338</v>
      </c>
      <c r="I143" s="39" t="s">
        <v>391</v>
      </c>
      <c r="J143" s="39" t="s">
        <v>392</v>
      </c>
      <c r="K143" s="39" t="s">
        <v>655</v>
      </c>
      <c r="L143" s="39" t="s">
        <v>506</v>
      </c>
      <c r="M143" s="10" t="s">
        <v>745</v>
      </c>
      <c r="N143" s="39" t="s">
        <v>344</v>
      </c>
      <c r="O143" s="39" t="s">
        <v>21</v>
      </c>
      <c r="P143" s="10"/>
    </row>
    <row r="144" customFormat="false" ht="12.75" hidden="false" customHeight="true" outlineLevel="0" collapsed="false">
      <c r="A144" s="38" t="s">
        <v>746</v>
      </c>
      <c r="B144" s="38" t="s">
        <v>653</v>
      </c>
      <c r="C144" s="38" t="s">
        <v>746</v>
      </c>
      <c r="D144" s="38" t="s">
        <v>336</v>
      </c>
      <c r="E144" s="38" t="n">
        <v>153</v>
      </c>
      <c r="F144" s="38" t="s">
        <v>746</v>
      </c>
      <c r="G144" s="38" t="s">
        <v>383</v>
      </c>
      <c r="H144" s="38" t="s">
        <v>338</v>
      </c>
      <c r="I144" s="38" t="s">
        <v>391</v>
      </c>
      <c r="J144" s="38" t="s">
        <v>340</v>
      </c>
      <c r="K144" s="38" t="s">
        <v>627</v>
      </c>
      <c r="L144" s="38" t="s">
        <v>612</v>
      </c>
      <c r="M144" s="35" t="s">
        <v>747</v>
      </c>
      <c r="N144" s="38" t="s">
        <v>344</v>
      </c>
      <c r="O144" s="38" t="s">
        <v>21</v>
      </c>
      <c r="P144" s="35"/>
    </row>
    <row r="145" customFormat="false" ht="12.75" hidden="false" customHeight="true" outlineLevel="0" collapsed="false">
      <c r="A145" s="39" t="s">
        <v>748</v>
      </c>
      <c r="B145" s="39" t="s">
        <v>653</v>
      </c>
      <c r="C145" s="39" t="s">
        <v>749</v>
      </c>
      <c r="D145" s="39" t="s">
        <v>336</v>
      </c>
      <c r="E145" s="39" t="n">
        <v>154</v>
      </c>
      <c r="F145" s="39" t="s">
        <v>750</v>
      </c>
      <c r="G145" s="39" t="s">
        <v>383</v>
      </c>
      <c r="H145" s="39" t="s">
        <v>338</v>
      </c>
      <c r="I145" s="39" t="s">
        <v>391</v>
      </c>
      <c r="J145" s="39" t="s">
        <v>648</v>
      </c>
      <c r="K145" s="39" t="s">
        <v>684</v>
      </c>
      <c r="L145" s="39" t="s">
        <v>684</v>
      </c>
      <c r="M145" s="10" t="s">
        <v>751</v>
      </c>
      <c r="N145" s="39" t="s">
        <v>344</v>
      </c>
      <c r="O145" s="40" t="s">
        <v>23</v>
      </c>
      <c r="P145" s="10"/>
    </row>
    <row r="146" customFormat="false" ht="12.75" hidden="false" customHeight="true" outlineLevel="0" collapsed="false">
      <c r="A146" s="38" t="s">
        <v>752</v>
      </c>
      <c r="B146" s="38" t="s">
        <v>653</v>
      </c>
      <c r="C146" s="38" t="s">
        <v>752</v>
      </c>
      <c r="D146" s="38" t="s">
        <v>336</v>
      </c>
      <c r="E146" s="38" t="n">
        <v>123</v>
      </c>
      <c r="F146" s="38" t="s">
        <v>752</v>
      </c>
      <c r="G146" s="38" t="s">
        <v>383</v>
      </c>
      <c r="H146" s="38" t="s">
        <v>338</v>
      </c>
      <c r="I146" s="38" t="s">
        <v>391</v>
      </c>
      <c r="J146" s="38" t="s">
        <v>378</v>
      </c>
      <c r="K146" s="38" t="s">
        <v>753</v>
      </c>
      <c r="L146" s="38" t="s">
        <v>380</v>
      </c>
      <c r="M146" s="35" t="s">
        <v>754</v>
      </c>
      <c r="N146" s="38" t="s">
        <v>344</v>
      </c>
      <c r="O146" s="38" t="s">
        <v>21</v>
      </c>
      <c r="P146" s="35"/>
    </row>
    <row r="147" customFormat="false" ht="12.75" hidden="false" customHeight="true" outlineLevel="0" collapsed="false">
      <c r="A147" s="39" t="s">
        <v>49</v>
      </c>
      <c r="B147" s="39" t="s">
        <v>653</v>
      </c>
      <c r="C147" s="39" t="s">
        <v>49</v>
      </c>
      <c r="D147" s="39" t="s">
        <v>336</v>
      </c>
      <c r="E147" s="39" t="n">
        <v>176</v>
      </c>
      <c r="F147" s="39" t="s">
        <v>49</v>
      </c>
      <c r="G147" s="39" t="s">
        <v>383</v>
      </c>
      <c r="H147" s="39" t="s">
        <v>348</v>
      </c>
      <c r="I147" s="39" t="s">
        <v>391</v>
      </c>
      <c r="J147" s="39" t="s">
        <v>648</v>
      </c>
      <c r="K147" s="39" t="s">
        <v>684</v>
      </c>
      <c r="L147" s="39" t="s">
        <v>684</v>
      </c>
      <c r="M147" s="10" t="s">
        <v>755</v>
      </c>
      <c r="N147" s="39" t="s">
        <v>344</v>
      </c>
      <c r="O147" s="39" t="s">
        <v>21</v>
      </c>
      <c r="P147" s="10"/>
    </row>
    <row r="148" customFormat="false" ht="12.75" hidden="false" customHeight="true" outlineLevel="0" collapsed="false">
      <c r="A148" s="38" t="s">
        <v>60</v>
      </c>
      <c r="B148" s="38" t="s">
        <v>653</v>
      </c>
      <c r="C148" s="38" t="s">
        <v>60</v>
      </c>
      <c r="D148" s="38" t="s">
        <v>336</v>
      </c>
      <c r="E148" s="38" t="n">
        <v>164</v>
      </c>
      <c r="F148" s="38" t="s">
        <v>60</v>
      </c>
      <c r="G148" s="38" t="s">
        <v>383</v>
      </c>
      <c r="H148" s="38" t="s">
        <v>348</v>
      </c>
      <c r="I148" s="38" t="s">
        <v>391</v>
      </c>
      <c r="J148" s="38" t="s">
        <v>648</v>
      </c>
      <c r="K148" s="38" t="s">
        <v>676</v>
      </c>
      <c r="L148" s="38" t="s">
        <v>342</v>
      </c>
      <c r="M148" s="35" t="s">
        <v>756</v>
      </c>
      <c r="N148" s="38" t="s">
        <v>344</v>
      </c>
      <c r="O148" s="38" t="s">
        <v>21</v>
      </c>
      <c r="P148" s="35"/>
    </row>
    <row r="149" customFormat="false" ht="12.75" hidden="false" customHeight="true" outlineLevel="0" collapsed="false">
      <c r="A149" s="39" t="s">
        <v>68</v>
      </c>
      <c r="B149" s="39" t="s">
        <v>653</v>
      </c>
      <c r="C149" s="39" t="s">
        <v>68</v>
      </c>
      <c r="D149" s="39" t="s">
        <v>336</v>
      </c>
      <c r="E149" s="39" t="n">
        <v>165</v>
      </c>
      <c r="F149" s="39" t="s">
        <v>68</v>
      </c>
      <c r="G149" s="39" t="s">
        <v>383</v>
      </c>
      <c r="H149" s="39" t="s">
        <v>348</v>
      </c>
      <c r="I149" s="39" t="s">
        <v>391</v>
      </c>
      <c r="J149" s="39" t="s">
        <v>648</v>
      </c>
      <c r="K149" s="39" t="s">
        <v>676</v>
      </c>
      <c r="L149" s="39" t="s">
        <v>342</v>
      </c>
      <c r="M149" s="10" t="s">
        <v>757</v>
      </c>
      <c r="N149" s="39" t="s">
        <v>344</v>
      </c>
      <c r="O149" s="39" t="s">
        <v>21</v>
      </c>
      <c r="P149" s="10"/>
    </row>
    <row r="150" customFormat="false" ht="12.75" hidden="false" customHeight="true" outlineLevel="0" collapsed="false">
      <c r="A150" s="38" t="s">
        <v>758</v>
      </c>
      <c r="B150" s="38" t="s">
        <v>653</v>
      </c>
      <c r="C150" s="38" t="s">
        <v>758</v>
      </c>
      <c r="D150" s="38" t="s">
        <v>336</v>
      </c>
      <c r="E150" s="38" t="n">
        <v>166</v>
      </c>
      <c r="F150" s="38" t="s">
        <v>759</v>
      </c>
      <c r="G150" s="38" t="s">
        <v>383</v>
      </c>
      <c r="H150" s="38" t="s">
        <v>348</v>
      </c>
      <c r="I150" s="38" t="s">
        <v>391</v>
      </c>
      <c r="J150" s="38" t="s">
        <v>355</v>
      </c>
      <c r="K150" s="38" t="s">
        <v>627</v>
      </c>
      <c r="L150" s="38" t="s">
        <v>612</v>
      </c>
      <c r="M150" s="35" t="s">
        <v>760</v>
      </c>
      <c r="N150" s="38" t="s">
        <v>344</v>
      </c>
      <c r="O150" s="40" t="s">
        <v>25</v>
      </c>
      <c r="P150" s="35"/>
    </row>
    <row r="151" customFormat="false" ht="12.75" hidden="false" customHeight="true" outlineLevel="0" collapsed="false">
      <c r="A151" s="39" t="s">
        <v>761</v>
      </c>
      <c r="B151" s="39" t="s">
        <v>653</v>
      </c>
      <c r="C151" s="39" t="s">
        <v>761</v>
      </c>
      <c r="D151" s="39" t="s">
        <v>336</v>
      </c>
      <c r="E151" s="39" t="n">
        <v>167</v>
      </c>
      <c r="F151" s="39" t="s">
        <v>762</v>
      </c>
      <c r="G151" s="39" t="s">
        <v>383</v>
      </c>
      <c r="H151" s="39" t="s">
        <v>348</v>
      </c>
      <c r="I151" s="39" t="s">
        <v>391</v>
      </c>
      <c r="J151" s="39" t="s">
        <v>355</v>
      </c>
      <c r="K151" s="39" t="s">
        <v>673</v>
      </c>
      <c r="L151" s="39" t="s">
        <v>342</v>
      </c>
      <c r="M151" s="10" t="s">
        <v>763</v>
      </c>
      <c r="N151" s="39" t="s">
        <v>344</v>
      </c>
      <c r="O151" s="40" t="s">
        <v>25</v>
      </c>
      <c r="P151" s="10"/>
    </row>
    <row r="152" customFormat="false" ht="12.75" hidden="false" customHeight="true" outlineLevel="0" collapsed="false">
      <c r="A152" s="38" t="s">
        <v>764</v>
      </c>
      <c r="B152" s="38" t="s">
        <v>653</v>
      </c>
      <c r="C152" s="38" t="s">
        <v>764</v>
      </c>
      <c r="D152" s="38" t="s">
        <v>336</v>
      </c>
      <c r="E152" s="38" t="n">
        <v>80</v>
      </c>
      <c r="F152" s="38" t="s">
        <v>764</v>
      </c>
      <c r="G152" s="38" t="s">
        <v>383</v>
      </c>
      <c r="H152" s="38" t="s">
        <v>348</v>
      </c>
      <c r="I152" s="38" t="s">
        <v>391</v>
      </c>
      <c r="J152" s="38" t="s">
        <v>392</v>
      </c>
      <c r="K152" s="38" t="s">
        <v>681</v>
      </c>
      <c r="L152" s="38" t="s">
        <v>612</v>
      </c>
      <c r="M152" s="35" t="s">
        <v>765</v>
      </c>
      <c r="N152" s="38" t="s">
        <v>344</v>
      </c>
      <c r="O152" s="38" t="s">
        <v>21</v>
      </c>
      <c r="P152" s="35"/>
    </row>
    <row r="153" customFormat="false" ht="12.75" hidden="false" customHeight="true" outlineLevel="0" collapsed="false">
      <c r="A153" s="39" t="s">
        <v>766</v>
      </c>
      <c r="B153" s="39" t="s">
        <v>653</v>
      </c>
      <c r="C153" s="39" t="s">
        <v>766</v>
      </c>
      <c r="D153" s="39" t="s">
        <v>336</v>
      </c>
      <c r="E153" s="39" t="n">
        <v>81</v>
      </c>
      <c r="F153" s="39" t="s">
        <v>766</v>
      </c>
      <c r="G153" s="39" t="s">
        <v>383</v>
      </c>
      <c r="H153" s="39" t="s">
        <v>348</v>
      </c>
      <c r="I153" s="39" t="s">
        <v>391</v>
      </c>
      <c r="J153" s="39" t="s">
        <v>392</v>
      </c>
      <c r="K153" s="39" t="s">
        <v>681</v>
      </c>
      <c r="L153" s="39" t="s">
        <v>612</v>
      </c>
      <c r="M153" s="10" t="s">
        <v>767</v>
      </c>
      <c r="N153" s="39" t="s">
        <v>344</v>
      </c>
      <c r="O153" s="39" t="s">
        <v>21</v>
      </c>
      <c r="P153" s="10"/>
    </row>
    <row r="154" customFormat="false" ht="12.75" hidden="false" customHeight="true" outlineLevel="0" collapsed="false">
      <c r="A154" s="38" t="s">
        <v>768</v>
      </c>
      <c r="B154" s="38" t="s">
        <v>653</v>
      </c>
      <c r="C154" s="38" t="s">
        <v>768</v>
      </c>
      <c r="D154" s="38" t="s">
        <v>336</v>
      </c>
      <c r="E154" s="38" t="n">
        <v>82</v>
      </c>
      <c r="F154" s="38" t="s">
        <v>768</v>
      </c>
      <c r="G154" s="38" t="s">
        <v>383</v>
      </c>
      <c r="H154" s="38" t="s">
        <v>348</v>
      </c>
      <c r="I154" s="38" t="s">
        <v>391</v>
      </c>
      <c r="J154" s="38" t="s">
        <v>392</v>
      </c>
      <c r="K154" s="38" t="s">
        <v>505</v>
      </c>
      <c r="L154" s="38" t="s">
        <v>506</v>
      </c>
      <c r="M154" s="35" t="s">
        <v>769</v>
      </c>
      <c r="N154" s="38" t="s">
        <v>344</v>
      </c>
      <c r="O154" s="38" t="s">
        <v>21</v>
      </c>
      <c r="P154" s="35"/>
    </row>
    <row r="155" customFormat="false" ht="12.75" hidden="false" customHeight="true" outlineLevel="0" collapsed="false">
      <c r="A155" s="39" t="s">
        <v>770</v>
      </c>
      <c r="B155" s="39" t="s">
        <v>653</v>
      </c>
      <c r="C155" s="39" t="s">
        <v>770</v>
      </c>
      <c r="D155" s="39" t="s">
        <v>336</v>
      </c>
      <c r="E155" s="39" t="n">
        <v>124</v>
      </c>
      <c r="F155" s="39" t="s">
        <v>770</v>
      </c>
      <c r="G155" s="39" t="s">
        <v>383</v>
      </c>
      <c r="H155" s="39" t="s">
        <v>348</v>
      </c>
      <c r="I155" s="39" t="s">
        <v>391</v>
      </c>
      <c r="J155" s="39" t="s">
        <v>392</v>
      </c>
      <c r="K155" s="39" t="s">
        <v>673</v>
      </c>
      <c r="L155" s="39" t="s">
        <v>342</v>
      </c>
      <c r="M155" s="10" t="s">
        <v>771</v>
      </c>
      <c r="N155" s="39" t="s">
        <v>344</v>
      </c>
      <c r="O155" s="39" t="s">
        <v>21</v>
      </c>
      <c r="P155" s="10"/>
    </row>
    <row r="156" customFormat="false" ht="12.75" hidden="false" customHeight="true" outlineLevel="0" collapsed="false">
      <c r="A156" s="38" t="s">
        <v>772</v>
      </c>
      <c r="B156" s="38" t="s">
        <v>653</v>
      </c>
      <c r="C156" s="38" t="s">
        <v>772</v>
      </c>
      <c r="D156" s="38" t="s">
        <v>336</v>
      </c>
      <c r="E156" s="38" t="n">
        <v>157</v>
      </c>
      <c r="F156" s="38" t="s">
        <v>772</v>
      </c>
      <c r="G156" s="38" t="s">
        <v>383</v>
      </c>
      <c r="H156" s="38" t="s">
        <v>348</v>
      </c>
      <c r="I156" s="38" t="s">
        <v>391</v>
      </c>
      <c r="J156" s="38" t="s">
        <v>648</v>
      </c>
      <c r="K156" s="38" t="s">
        <v>505</v>
      </c>
      <c r="L156" s="38" t="s">
        <v>506</v>
      </c>
      <c r="M156" s="35" t="s">
        <v>773</v>
      </c>
      <c r="N156" s="38" t="s">
        <v>344</v>
      </c>
      <c r="O156" s="38" t="s">
        <v>21</v>
      </c>
      <c r="P156" s="35"/>
    </row>
    <row r="157" customFormat="false" ht="12.75" hidden="false" customHeight="true" outlineLevel="0" collapsed="false">
      <c r="A157" s="39" t="s">
        <v>774</v>
      </c>
      <c r="B157" s="39" t="s">
        <v>653</v>
      </c>
      <c r="C157" s="39" t="s">
        <v>774</v>
      </c>
      <c r="D157" s="39" t="s">
        <v>336</v>
      </c>
      <c r="E157" s="39" t="n">
        <v>84</v>
      </c>
      <c r="F157" s="39" t="s">
        <v>774</v>
      </c>
      <c r="G157" s="39" t="s">
        <v>383</v>
      </c>
      <c r="H157" s="39" t="s">
        <v>348</v>
      </c>
      <c r="I157" s="39" t="s">
        <v>391</v>
      </c>
      <c r="J157" s="39" t="s">
        <v>581</v>
      </c>
      <c r="K157" s="39" t="s">
        <v>775</v>
      </c>
      <c r="L157" s="39" t="s">
        <v>776</v>
      </c>
      <c r="M157" s="10" t="s">
        <v>777</v>
      </c>
      <c r="N157" s="39" t="s">
        <v>344</v>
      </c>
      <c r="O157" s="39" t="s">
        <v>21</v>
      </c>
      <c r="P157" s="10"/>
    </row>
    <row r="158" customFormat="false" ht="12.75" hidden="false" customHeight="true" outlineLevel="0" collapsed="false">
      <c r="A158" s="38" t="s">
        <v>778</v>
      </c>
      <c r="B158" s="38" t="s">
        <v>653</v>
      </c>
      <c r="C158" s="38" t="s">
        <v>778</v>
      </c>
      <c r="D158" s="38" t="s">
        <v>336</v>
      </c>
      <c r="E158" s="38" t="n">
        <v>174</v>
      </c>
      <c r="F158" s="38" t="s">
        <v>778</v>
      </c>
      <c r="G158" s="38" t="s">
        <v>383</v>
      </c>
      <c r="H158" s="38" t="s">
        <v>348</v>
      </c>
      <c r="I158" s="38" t="s">
        <v>391</v>
      </c>
      <c r="J158" s="38" t="s">
        <v>631</v>
      </c>
      <c r="K158" s="38" t="s">
        <v>684</v>
      </c>
      <c r="L158" s="38" t="s">
        <v>684</v>
      </c>
      <c r="M158" s="35" t="s">
        <v>779</v>
      </c>
      <c r="N158" s="38" t="s">
        <v>344</v>
      </c>
      <c r="O158" s="38" t="s">
        <v>21</v>
      </c>
      <c r="P158" s="35"/>
    </row>
    <row r="159" customFormat="false" ht="12.75" hidden="false" customHeight="true" outlineLevel="0" collapsed="false">
      <c r="A159" s="39" t="s">
        <v>780</v>
      </c>
      <c r="B159" s="39" t="s">
        <v>653</v>
      </c>
      <c r="C159" s="39" t="s">
        <v>780</v>
      </c>
      <c r="D159" s="39" t="s">
        <v>336</v>
      </c>
      <c r="E159" s="39" t="n">
        <v>85</v>
      </c>
      <c r="F159" s="39" t="s">
        <v>780</v>
      </c>
      <c r="G159" s="39" t="s">
        <v>383</v>
      </c>
      <c r="H159" s="39" t="s">
        <v>348</v>
      </c>
      <c r="I159" s="39" t="s">
        <v>391</v>
      </c>
      <c r="J159" s="39" t="s">
        <v>581</v>
      </c>
      <c r="K159" s="39" t="s">
        <v>681</v>
      </c>
      <c r="L159" s="39" t="s">
        <v>781</v>
      </c>
      <c r="M159" s="10" t="s">
        <v>782</v>
      </c>
      <c r="N159" s="39" t="s">
        <v>344</v>
      </c>
      <c r="O159" s="39" t="s">
        <v>21</v>
      </c>
      <c r="P159" s="10"/>
    </row>
    <row r="160" customFormat="false" ht="12.75" hidden="false" customHeight="true" outlineLevel="0" collapsed="false">
      <c r="A160" s="38" t="s">
        <v>783</v>
      </c>
      <c r="B160" s="38" t="s">
        <v>653</v>
      </c>
      <c r="C160" s="38" t="s">
        <v>783</v>
      </c>
      <c r="D160" s="38" t="s">
        <v>336</v>
      </c>
      <c r="E160" s="38" t="n">
        <v>171</v>
      </c>
      <c r="F160" s="38" t="s">
        <v>783</v>
      </c>
      <c r="G160" s="38" t="s">
        <v>383</v>
      </c>
      <c r="H160" s="38" t="s">
        <v>348</v>
      </c>
      <c r="I160" s="38" t="s">
        <v>391</v>
      </c>
      <c r="J160" s="38" t="s">
        <v>340</v>
      </c>
      <c r="K160" s="38" t="s">
        <v>784</v>
      </c>
      <c r="L160" s="38" t="s">
        <v>342</v>
      </c>
      <c r="M160" s="35" t="s">
        <v>785</v>
      </c>
      <c r="N160" s="38" t="s">
        <v>344</v>
      </c>
      <c r="O160" s="38" t="s">
        <v>21</v>
      </c>
      <c r="P160" s="35"/>
    </row>
    <row r="161" customFormat="false" ht="12.75" hidden="false" customHeight="true" outlineLevel="0" collapsed="false">
      <c r="A161" s="39" t="s">
        <v>786</v>
      </c>
      <c r="B161" s="39" t="s">
        <v>653</v>
      </c>
      <c r="C161" s="39" t="s">
        <v>786</v>
      </c>
      <c r="D161" s="39" t="s">
        <v>336</v>
      </c>
      <c r="E161" s="39" t="n">
        <v>160</v>
      </c>
      <c r="F161" s="39" t="s">
        <v>786</v>
      </c>
      <c r="G161" s="39" t="s">
        <v>383</v>
      </c>
      <c r="H161" s="39" t="s">
        <v>348</v>
      </c>
      <c r="I161" s="39" t="s">
        <v>391</v>
      </c>
      <c r="J161" s="39" t="s">
        <v>355</v>
      </c>
      <c r="K161" s="39" t="s">
        <v>627</v>
      </c>
      <c r="L161" s="39" t="s">
        <v>612</v>
      </c>
      <c r="M161" s="10" t="s">
        <v>760</v>
      </c>
      <c r="N161" s="39" t="s">
        <v>344</v>
      </c>
      <c r="O161" s="39" t="s">
        <v>21</v>
      </c>
      <c r="P161" s="10"/>
    </row>
    <row r="162" customFormat="false" ht="12.75" hidden="false" customHeight="true" outlineLevel="0" collapsed="false">
      <c r="A162" s="38" t="s">
        <v>787</v>
      </c>
      <c r="B162" s="38" t="s">
        <v>653</v>
      </c>
      <c r="C162" s="38" t="s">
        <v>787</v>
      </c>
      <c r="D162" s="38" t="s">
        <v>336</v>
      </c>
      <c r="E162" s="38" t="n">
        <v>155</v>
      </c>
      <c r="F162" s="38" t="s">
        <v>787</v>
      </c>
      <c r="G162" s="38" t="s">
        <v>383</v>
      </c>
      <c r="H162" s="38" t="s">
        <v>348</v>
      </c>
      <c r="I162" s="38" t="s">
        <v>391</v>
      </c>
      <c r="J162" s="38" t="s">
        <v>392</v>
      </c>
      <c r="K162" s="38" t="s">
        <v>673</v>
      </c>
      <c r="L162" s="38" t="s">
        <v>342</v>
      </c>
      <c r="M162" s="35" t="s">
        <v>788</v>
      </c>
      <c r="N162" s="38" t="s">
        <v>344</v>
      </c>
      <c r="O162" s="38" t="s">
        <v>21</v>
      </c>
      <c r="P162" s="35"/>
    </row>
    <row r="163" customFormat="false" ht="12.75" hidden="false" customHeight="true" outlineLevel="0" collapsed="false">
      <c r="A163" s="39" t="s">
        <v>789</v>
      </c>
      <c r="B163" s="39" t="s">
        <v>653</v>
      </c>
      <c r="C163" s="39" t="s">
        <v>789</v>
      </c>
      <c r="D163" s="39" t="s">
        <v>336</v>
      </c>
      <c r="E163" s="39" t="n">
        <v>161</v>
      </c>
      <c r="F163" s="39" t="s">
        <v>789</v>
      </c>
      <c r="G163" s="39" t="s">
        <v>383</v>
      </c>
      <c r="H163" s="39" t="s">
        <v>348</v>
      </c>
      <c r="I163" s="39" t="s">
        <v>391</v>
      </c>
      <c r="J163" s="39" t="s">
        <v>340</v>
      </c>
      <c r="K163" s="39" t="s">
        <v>627</v>
      </c>
      <c r="L163" s="39" t="s">
        <v>612</v>
      </c>
      <c r="M163" s="10" t="s">
        <v>790</v>
      </c>
      <c r="N163" s="39" t="s">
        <v>344</v>
      </c>
      <c r="O163" s="39" t="s">
        <v>21</v>
      </c>
      <c r="P163" s="10"/>
    </row>
    <row r="164" customFormat="false" ht="12.75" hidden="false" customHeight="true" outlineLevel="0" collapsed="false">
      <c r="A164" s="38" t="s">
        <v>791</v>
      </c>
      <c r="B164" s="38" t="s">
        <v>653</v>
      </c>
      <c r="C164" s="38" t="s">
        <v>791</v>
      </c>
      <c r="D164" s="38" t="s">
        <v>336</v>
      </c>
      <c r="E164" s="38" t="n">
        <v>162</v>
      </c>
      <c r="F164" s="38" t="s">
        <v>791</v>
      </c>
      <c r="G164" s="38" t="s">
        <v>383</v>
      </c>
      <c r="H164" s="38" t="s">
        <v>348</v>
      </c>
      <c r="I164" s="38" t="s">
        <v>391</v>
      </c>
      <c r="J164" s="38" t="s">
        <v>340</v>
      </c>
      <c r="K164" s="38" t="s">
        <v>627</v>
      </c>
      <c r="L164" s="38" t="s">
        <v>612</v>
      </c>
      <c r="M164" s="35" t="s">
        <v>792</v>
      </c>
      <c r="N164" s="38" t="s">
        <v>344</v>
      </c>
      <c r="O164" s="38" t="s">
        <v>21</v>
      </c>
      <c r="P164" s="35"/>
    </row>
    <row r="165" customFormat="false" ht="12.75" hidden="false" customHeight="true" outlineLevel="0" collapsed="false">
      <c r="A165" s="39" t="s">
        <v>793</v>
      </c>
      <c r="B165" s="39" t="s">
        <v>653</v>
      </c>
      <c r="C165" s="39" t="s">
        <v>793</v>
      </c>
      <c r="D165" s="39" t="s">
        <v>336</v>
      </c>
      <c r="E165" s="39" t="n">
        <v>163</v>
      </c>
      <c r="F165" s="39" t="s">
        <v>793</v>
      </c>
      <c r="G165" s="39" t="s">
        <v>383</v>
      </c>
      <c r="H165" s="39" t="s">
        <v>348</v>
      </c>
      <c r="I165" s="39" t="s">
        <v>391</v>
      </c>
      <c r="J165" s="39" t="s">
        <v>340</v>
      </c>
      <c r="K165" s="39" t="s">
        <v>627</v>
      </c>
      <c r="L165" s="39" t="s">
        <v>612</v>
      </c>
      <c r="M165" s="10" t="s">
        <v>794</v>
      </c>
      <c r="N165" s="39" t="s">
        <v>344</v>
      </c>
      <c r="O165" s="39" t="s">
        <v>21</v>
      </c>
      <c r="P165" s="10"/>
    </row>
    <row r="166" customFormat="false" ht="12.75" hidden="false" customHeight="true" outlineLevel="0" collapsed="false">
      <c r="A166" s="38" t="s">
        <v>795</v>
      </c>
      <c r="B166" s="38" t="s">
        <v>653</v>
      </c>
      <c r="C166" s="38" t="s">
        <v>795</v>
      </c>
      <c r="D166" s="38" t="s">
        <v>336</v>
      </c>
      <c r="E166" s="38" t="n">
        <v>156</v>
      </c>
      <c r="F166" s="38" t="s">
        <v>796</v>
      </c>
      <c r="G166" s="38" t="s">
        <v>383</v>
      </c>
      <c r="H166" s="38" t="s">
        <v>348</v>
      </c>
      <c r="I166" s="38" t="s">
        <v>391</v>
      </c>
      <c r="J166" s="38" t="s">
        <v>488</v>
      </c>
      <c r="K166" s="38" t="s">
        <v>505</v>
      </c>
      <c r="L166" s="38" t="s">
        <v>506</v>
      </c>
      <c r="M166" s="35" t="s">
        <v>797</v>
      </c>
      <c r="N166" s="38" t="s">
        <v>344</v>
      </c>
      <c r="O166" s="40" t="s">
        <v>25</v>
      </c>
      <c r="P166" s="35"/>
    </row>
    <row r="167" customFormat="false" ht="12.75" hidden="false" customHeight="true" outlineLevel="0" collapsed="false">
      <c r="A167" s="39" t="s">
        <v>798</v>
      </c>
      <c r="B167" s="39" t="s">
        <v>653</v>
      </c>
      <c r="C167" s="39" t="s">
        <v>798</v>
      </c>
      <c r="D167" s="39" t="s">
        <v>336</v>
      </c>
      <c r="E167" s="39" t="n">
        <v>170</v>
      </c>
      <c r="F167" s="39" t="s">
        <v>798</v>
      </c>
      <c r="G167" s="39" t="s">
        <v>383</v>
      </c>
      <c r="H167" s="39" t="s">
        <v>348</v>
      </c>
      <c r="I167" s="39" t="s">
        <v>391</v>
      </c>
      <c r="J167" s="39" t="s">
        <v>648</v>
      </c>
      <c r="K167" s="39" t="s">
        <v>684</v>
      </c>
      <c r="L167" s="39" t="s">
        <v>684</v>
      </c>
      <c r="M167" s="10" t="s">
        <v>799</v>
      </c>
      <c r="N167" s="39" t="s">
        <v>344</v>
      </c>
      <c r="O167" s="39" t="s">
        <v>21</v>
      </c>
      <c r="P167" s="10"/>
    </row>
    <row r="168" customFormat="false" ht="12.75" hidden="false" customHeight="true" outlineLevel="0" collapsed="false">
      <c r="A168" s="38" t="s">
        <v>800</v>
      </c>
      <c r="B168" s="38" t="s">
        <v>653</v>
      </c>
      <c r="C168" s="38" t="s">
        <v>800</v>
      </c>
      <c r="D168" s="38" t="s">
        <v>336</v>
      </c>
      <c r="E168" s="38" t="n">
        <v>175</v>
      </c>
      <c r="F168" s="38" t="s">
        <v>801</v>
      </c>
      <c r="G168" s="38" t="s">
        <v>383</v>
      </c>
      <c r="H168" s="38" t="s">
        <v>348</v>
      </c>
      <c r="I168" s="38" t="s">
        <v>391</v>
      </c>
      <c r="J168" s="38" t="s">
        <v>648</v>
      </c>
      <c r="K168" s="38" t="s">
        <v>684</v>
      </c>
      <c r="L168" s="38" t="s">
        <v>684</v>
      </c>
      <c r="M168" s="35" t="s">
        <v>802</v>
      </c>
      <c r="N168" s="38" t="s">
        <v>344</v>
      </c>
      <c r="O168" s="40" t="s">
        <v>25</v>
      </c>
      <c r="P168" s="35"/>
    </row>
    <row r="169" customFormat="false" ht="12.75" hidden="false" customHeight="true" outlineLevel="0" collapsed="false">
      <c r="A169" s="39" t="s">
        <v>803</v>
      </c>
      <c r="B169" s="39" t="s">
        <v>653</v>
      </c>
      <c r="C169" s="39" t="s">
        <v>803</v>
      </c>
      <c r="D169" s="39" t="s">
        <v>336</v>
      </c>
      <c r="E169" s="39" t="n">
        <v>79</v>
      </c>
      <c r="F169" s="39" t="s">
        <v>803</v>
      </c>
      <c r="G169" s="39" t="s">
        <v>383</v>
      </c>
      <c r="H169" s="39" t="s">
        <v>348</v>
      </c>
      <c r="I169" s="39" t="s">
        <v>391</v>
      </c>
      <c r="J169" s="39" t="s">
        <v>392</v>
      </c>
      <c r="K169" s="39" t="s">
        <v>804</v>
      </c>
      <c r="L169" s="39" t="s">
        <v>476</v>
      </c>
      <c r="M169" s="10" t="s">
        <v>805</v>
      </c>
      <c r="N169" s="39" t="s">
        <v>344</v>
      </c>
      <c r="O169" s="39" t="s">
        <v>21</v>
      </c>
      <c r="P169" s="10"/>
    </row>
    <row r="170" customFormat="false" ht="12.75" hidden="false" customHeight="true" outlineLevel="0" collapsed="false">
      <c r="A170" s="38" t="s">
        <v>806</v>
      </c>
      <c r="B170" s="38" t="s">
        <v>653</v>
      </c>
      <c r="C170" s="38" t="s">
        <v>806</v>
      </c>
      <c r="D170" s="38" t="s">
        <v>336</v>
      </c>
      <c r="E170" s="38" t="n">
        <v>168</v>
      </c>
      <c r="F170" s="38" t="s">
        <v>806</v>
      </c>
      <c r="G170" s="38" t="s">
        <v>383</v>
      </c>
      <c r="H170" s="38" t="s">
        <v>348</v>
      </c>
      <c r="I170" s="38" t="s">
        <v>391</v>
      </c>
      <c r="J170" s="38" t="s">
        <v>648</v>
      </c>
      <c r="K170" s="38" t="s">
        <v>684</v>
      </c>
      <c r="L170" s="38" t="s">
        <v>684</v>
      </c>
      <c r="M170" s="35" t="s">
        <v>807</v>
      </c>
      <c r="N170" s="38" t="s">
        <v>344</v>
      </c>
      <c r="O170" s="38" t="s">
        <v>21</v>
      </c>
      <c r="P170" s="35"/>
    </row>
    <row r="171" customFormat="false" ht="12.75" hidden="false" customHeight="true" outlineLevel="0" collapsed="false">
      <c r="A171" s="39" t="s">
        <v>808</v>
      </c>
      <c r="B171" s="39" t="s">
        <v>653</v>
      </c>
      <c r="C171" s="39" t="s">
        <v>808</v>
      </c>
      <c r="D171" s="39" t="s">
        <v>336</v>
      </c>
      <c r="E171" s="39" t="n">
        <v>169</v>
      </c>
      <c r="F171" s="39" t="s">
        <v>808</v>
      </c>
      <c r="G171" s="39" t="s">
        <v>383</v>
      </c>
      <c r="H171" s="39" t="s">
        <v>348</v>
      </c>
      <c r="I171" s="39" t="s">
        <v>391</v>
      </c>
      <c r="J171" s="39" t="s">
        <v>648</v>
      </c>
      <c r="K171" s="39" t="s">
        <v>684</v>
      </c>
      <c r="L171" s="39" t="s">
        <v>684</v>
      </c>
      <c r="M171" s="10" t="s">
        <v>809</v>
      </c>
      <c r="N171" s="39" t="s">
        <v>344</v>
      </c>
      <c r="O171" s="39" t="s">
        <v>21</v>
      </c>
      <c r="P171" s="10"/>
    </row>
    <row r="172" customFormat="false" ht="12.75" hidden="false" customHeight="true" outlineLevel="0" collapsed="false">
      <c r="A172" s="38" t="s">
        <v>810</v>
      </c>
      <c r="B172" s="38" t="s">
        <v>653</v>
      </c>
      <c r="C172" s="38" t="s">
        <v>810</v>
      </c>
      <c r="D172" s="38" t="s">
        <v>336</v>
      </c>
      <c r="E172" s="38" t="n">
        <v>172</v>
      </c>
      <c r="F172" s="38" t="s">
        <v>811</v>
      </c>
      <c r="G172" s="38" t="s">
        <v>383</v>
      </c>
      <c r="H172" s="38" t="s">
        <v>348</v>
      </c>
      <c r="I172" s="38" t="s">
        <v>391</v>
      </c>
      <c r="J172" s="38" t="s">
        <v>488</v>
      </c>
      <c r="K172" s="38" t="s">
        <v>505</v>
      </c>
      <c r="L172" s="38" t="s">
        <v>506</v>
      </c>
      <c r="M172" s="35" t="s">
        <v>812</v>
      </c>
      <c r="N172" s="38" t="s">
        <v>344</v>
      </c>
      <c r="O172" s="40" t="s">
        <v>25</v>
      </c>
      <c r="P172" s="35"/>
    </row>
    <row r="173" customFormat="false" ht="12.75" hidden="false" customHeight="true" outlineLevel="0" collapsed="false">
      <c r="A173" s="39" t="s">
        <v>813</v>
      </c>
      <c r="B173" s="39" t="s">
        <v>653</v>
      </c>
      <c r="C173" s="39" t="s">
        <v>814</v>
      </c>
      <c r="D173" s="39" t="s">
        <v>336</v>
      </c>
      <c r="E173" s="39" t="n">
        <v>159</v>
      </c>
      <c r="F173" s="39" t="s">
        <v>815</v>
      </c>
      <c r="G173" s="39" t="s">
        <v>383</v>
      </c>
      <c r="H173" s="39" t="s">
        <v>348</v>
      </c>
      <c r="I173" s="39" t="s">
        <v>391</v>
      </c>
      <c r="J173" s="39" t="s">
        <v>392</v>
      </c>
      <c r="K173" s="39" t="s">
        <v>673</v>
      </c>
      <c r="L173" s="39" t="s">
        <v>342</v>
      </c>
      <c r="M173" s="10" t="s">
        <v>816</v>
      </c>
      <c r="N173" s="39" t="s">
        <v>344</v>
      </c>
      <c r="O173" s="40" t="s">
        <v>25</v>
      </c>
      <c r="P173" s="10"/>
    </row>
    <row r="174" customFormat="false" ht="12.75" hidden="false" customHeight="true" outlineLevel="0" collapsed="false">
      <c r="A174" s="38" t="s">
        <v>817</v>
      </c>
      <c r="B174" s="38" t="s">
        <v>653</v>
      </c>
      <c r="C174" s="38" t="s">
        <v>818</v>
      </c>
      <c r="D174" s="38" t="s">
        <v>336</v>
      </c>
      <c r="E174" s="38" t="n">
        <v>83</v>
      </c>
      <c r="F174" s="38" t="s">
        <v>817</v>
      </c>
      <c r="G174" s="38" t="s">
        <v>383</v>
      </c>
      <c r="H174" s="38" t="s">
        <v>348</v>
      </c>
      <c r="I174" s="38" t="s">
        <v>391</v>
      </c>
      <c r="J174" s="38" t="s">
        <v>392</v>
      </c>
      <c r="K174" s="38" t="s">
        <v>505</v>
      </c>
      <c r="L174" s="38" t="s">
        <v>594</v>
      </c>
      <c r="M174" s="35" t="s">
        <v>819</v>
      </c>
      <c r="N174" s="38" t="s">
        <v>344</v>
      </c>
      <c r="O174" s="38" t="s">
        <v>21</v>
      </c>
      <c r="P174" s="35"/>
    </row>
    <row r="175" customFormat="false" ht="12.75" hidden="false" customHeight="true" outlineLevel="0" collapsed="false">
      <c r="A175" s="39" t="s">
        <v>820</v>
      </c>
      <c r="B175" s="39" t="s">
        <v>653</v>
      </c>
      <c r="C175" s="39" t="s">
        <v>820</v>
      </c>
      <c r="D175" s="39" t="s">
        <v>336</v>
      </c>
      <c r="E175" s="39" t="n">
        <v>173</v>
      </c>
      <c r="F175" s="39" t="s">
        <v>820</v>
      </c>
      <c r="G175" s="39" t="s">
        <v>383</v>
      </c>
      <c r="H175" s="39" t="s">
        <v>348</v>
      </c>
      <c r="I175" s="39" t="s">
        <v>391</v>
      </c>
      <c r="J175" s="39" t="s">
        <v>631</v>
      </c>
      <c r="K175" s="39" t="s">
        <v>684</v>
      </c>
      <c r="L175" s="39" t="s">
        <v>684</v>
      </c>
      <c r="M175" s="10" t="s">
        <v>821</v>
      </c>
      <c r="N175" s="39" t="s">
        <v>344</v>
      </c>
      <c r="O175" s="39" t="s">
        <v>21</v>
      </c>
      <c r="P175" s="10"/>
    </row>
    <row r="176" customFormat="false" ht="12.75" hidden="false" customHeight="true" outlineLevel="0" collapsed="false">
      <c r="A176" s="38" t="s">
        <v>822</v>
      </c>
      <c r="B176" s="38" t="s">
        <v>653</v>
      </c>
      <c r="C176" s="38" t="s">
        <v>822</v>
      </c>
      <c r="D176" s="38" t="s">
        <v>336</v>
      </c>
      <c r="E176" s="38" t="n">
        <v>158</v>
      </c>
      <c r="F176" s="38" t="s">
        <v>822</v>
      </c>
      <c r="G176" s="38" t="s">
        <v>383</v>
      </c>
      <c r="H176" s="38" t="s">
        <v>348</v>
      </c>
      <c r="I176" s="38" t="s">
        <v>391</v>
      </c>
      <c r="J176" s="38" t="s">
        <v>483</v>
      </c>
      <c r="K176" s="38" t="s">
        <v>464</v>
      </c>
      <c r="L176" s="38" t="s">
        <v>476</v>
      </c>
      <c r="M176" s="35" t="s">
        <v>823</v>
      </c>
      <c r="N176" s="38" t="s">
        <v>344</v>
      </c>
      <c r="O176" s="38" t="s">
        <v>21</v>
      </c>
      <c r="P176" s="35"/>
    </row>
    <row r="177" customFormat="false" ht="12.75" hidden="false" customHeight="true" outlineLevel="0" collapsed="false">
      <c r="A177" s="39" t="s">
        <v>824</v>
      </c>
      <c r="B177" s="39" t="s">
        <v>825</v>
      </c>
      <c r="C177" s="39" t="s">
        <v>826</v>
      </c>
      <c r="D177" s="39" t="s">
        <v>371</v>
      </c>
      <c r="E177" s="39" t="n">
        <v>101</v>
      </c>
      <c r="F177" s="39" t="s">
        <v>827</v>
      </c>
      <c r="G177" s="39" t="s">
        <v>337</v>
      </c>
      <c r="H177" s="39" t="s">
        <v>348</v>
      </c>
      <c r="I177" s="39" t="s">
        <v>828</v>
      </c>
      <c r="J177" s="39" t="s">
        <v>829</v>
      </c>
      <c r="K177" s="39" t="s">
        <v>830</v>
      </c>
      <c r="L177" s="39" t="s">
        <v>476</v>
      </c>
      <c r="M177" s="10" t="s">
        <v>831</v>
      </c>
      <c r="N177" s="39" t="s">
        <v>344</v>
      </c>
      <c r="O177" s="40" t="s">
        <v>25</v>
      </c>
      <c r="P177" s="10"/>
    </row>
    <row r="178" customFormat="false" ht="12.75" hidden="false" customHeight="true" outlineLevel="0" collapsed="false">
      <c r="A178" s="38" t="s">
        <v>832</v>
      </c>
      <c r="B178" s="38" t="s">
        <v>825</v>
      </c>
      <c r="C178" s="38" t="s">
        <v>832</v>
      </c>
      <c r="D178" s="38" t="s">
        <v>371</v>
      </c>
      <c r="E178" s="38" t="n">
        <v>104</v>
      </c>
      <c r="F178" s="38" t="s">
        <v>833</v>
      </c>
      <c r="G178" s="38" t="s">
        <v>337</v>
      </c>
      <c r="H178" s="38" t="s">
        <v>348</v>
      </c>
      <c r="I178" s="38" t="s">
        <v>834</v>
      </c>
      <c r="J178" s="38" t="s">
        <v>829</v>
      </c>
      <c r="K178" s="38" t="s">
        <v>835</v>
      </c>
      <c r="L178" s="38" t="s">
        <v>476</v>
      </c>
      <c r="M178" s="35" t="s">
        <v>836</v>
      </c>
      <c r="N178" s="38" t="s">
        <v>344</v>
      </c>
      <c r="O178" s="40" t="s">
        <v>23</v>
      </c>
      <c r="P178" s="35"/>
    </row>
    <row r="179" customFormat="false" ht="12.75" hidden="false" customHeight="true" outlineLevel="0" collapsed="false">
      <c r="A179" s="39" t="s">
        <v>837</v>
      </c>
      <c r="B179" s="39" t="s">
        <v>825</v>
      </c>
      <c r="C179" s="39" t="s">
        <v>838</v>
      </c>
      <c r="D179" s="39" t="s">
        <v>371</v>
      </c>
      <c r="E179" s="39" t="n">
        <v>102</v>
      </c>
      <c r="F179" s="39" t="s">
        <v>837</v>
      </c>
      <c r="G179" s="39" t="s">
        <v>337</v>
      </c>
      <c r="H179" s="39" t="s">
        <v>348</v>
      </c>
      <c r="I179" s="39" t="s">
        <v>828</v>
      </c>
      <c r="J179" s="39" t="s">
        <v>829</v>
      </c>
      <c r="K179" s="39" t="s">
        <v>830</v>
      </c>
      <c r="L179" s="39" t="s">
        <v>476</v>
      </c>
      <c r="M179" s="10" t="s">
        <v>839</v>
      </c>
      <c r="N179" s="39" t="s">
        <v>344</v>
      </c>
      <c r="O179" s="39" t="s">
        <v>21</v>
      </c>
      <c r="P179" s="10"/>
    </row>
    <row r="180" customFormat="false" ht="12.75" hidden="false" customHeight="true" outlineLevel="0" collapsed="false">
      <c r="A180" s="41" t="s">
        <v>840</v>
      </c>
      <c r="B180" s="41" t="s">
        <v>825</v>
      </c>
      <c r="C180" s="41" t="s">
        <v>840</v>
      </c>
      <c r="D180" s="41" t="s">
        <v>336</v>
      </c>
      <c r="E180" s="41"/>
      <c r="F180" s="41"/>
      <c r="G180" s="41"/>
      <c r="H180" s="41"/>
      <c r="I180" s="41"/>
      <c r="J180" s="41"/>
      <c r="K180" s="41"/>
      <c r="L180" s="41"/>
      <c r="M180" s="42"/>
      <c r="N180" s="41" t="s">
        <v>372</v>
      </c>
      <c r="O180" s="41" t="s">
        <v>29</v>
      </c>
      <c r="P180" s="42"/>
    </row>
    <row r="181" customFormat="false" ht="12.75" hidden="false" customHeight="true" outlineLevel="0" collapsed="false">
      <c r="A181" s="39" t="s">
        <v>841</v>
      </c>
      <c r="B181" s="39" t="s">
        <v>825</v>
      </c>
      <c r="C181" s="39" t="s">
        <v>842</v>
      </c>
      <c r="D181" s="39" t="s">
        <v>371</v>
      </c>
      <c r="E181" s="39" t="n">
        <v>100</v>
      </c>
      <c r="F181" s="39" t="s">
        <v>841</v>
      </c>
      <c r="G181" s="39" t="s">
        <v>337</v>
      </c>
      <c r="H181" s="39" t="s">
        <v>348</v>
      </c>
      <c r="I181" s="39" t="s">
        <v>828</v>
      </c>
      <c r="J181" s="39" t="s">
        <v>829</v>
      </c>
      <c r="K181" s="39" t="s">
        <v>835</v>
      </c>
      <c r="L181" s="39" t="s">
        <v>476</v>
      </c>
      <c r="M181" s="10" t="s">
        <v>843</v>
      </c>
      <c r="N181" s="39" t="s">
        <v>344</v>
      </c>
      <c r="O181" s="39" t="s">
        <v>21</v>
      </c>
      <c r="P181" s="10"/>
    </row>
    <row r="182" customFormat="false" ht="12.75" hidden="false" customHeight="true" outlineLevel="0" collapsed="false">
      <c r="A182" s="38" t="s">
        <v>844</v>
      </c>
      <c r="B182" s="38" t="s">
        <v>845</v>
      </c>
      <c r="C182" s="38" t="s">
        <v>844</v>
      </c>
      <c r="D182" s="38" t="s">
        <v>336</v>
      </c>
      <c r="E182" s="38" t="n">
        <v>178</v>
      </c>
      <c r="F182" s="38" t="s">
        <v>844</v>
      </c>
      <c r="G182" s="38" t="s">
        <v>359</v>
      </c>
      <c r="H182" s="38" t="s">
        <v>338</v>
      </c>
      <c r="I182" s="38" t="s">
        <v>643</v>
      </c>
      <c r="J182" s="38" t="s">
        <v>846</v>
      </c>
      <c r="K182" s="38" t="s">
        <v>847</v>
      </c>
      <c r="L182" s="38" t="s">
        <v>342</v>
      </c>
      <c r="M182" s="35" t="s">
        <v>848</v>
      </c>
      <c r="N182" s="38" t="s">
        <v>344</v>
      </c>
      <c r="O182" s="38" t="s">
        <v>21</v>
      </c>
      <c r="P182" s="35"/>
    </row>
    <row r="183" customFormat="false" ht="12.75" hidden="false" customHeight="true" outlineLevel="0" collapsed="false">
      <c r="A183" s="39" t="s">
        <v>849</v>
      </c>
      <c r="B183" s="39" t="s">
        <v>845</v>
      </c>
      <c r="C183" s="39" t="s">
        <v>849</v>
      </c>
      <c r="D183" s="39" t="s">
        <v>336</v>
      </c>
      <c r="E183" s="39" t="n">
        <v>179</v>
      </c>
      <c r="F183" s="39" t="s">
        <v>849</v>
      </c>
      <c r="G183" s="39" t="s">
        <v>359</v>
      </c>
      <c r="H183" s="39" t="s">
        <v>338</v>
      </c>
      <c r="I183" s="39" t="s">
        <v>643</v>
      </c>
      <c r="J183" s="39" t="s">
        <v>846</v>
      </c>
      <c r="K183" s="39" t="s">
        <v>847</v>
      </c>
      <c r="L183" s="39" t="s">
        <v>342</v>
      </c>
      <c r="M183" s="10" t="s">
        <v>850</v>
      </c>
      <c r="N183" s="39" t="s">
        <v>344</v>
      </c>
      <c r="O183" s="39" t="s">
        <v>21</v>
      </c>
      <c r="P183" s="10"/>
    </row>
    <row r="184" customFormat="false" ht="12.75" hidden="false" customHeight="true" outlineLevel="0" collapsed="false">
      <c r="A184" s="38" t="s">
        <v>851</v>
      </c>
      <c r="B184" s="38" t="s">
        <v>845</v>
      </c>
      <c r="C184" s="38" t="s">
        <v>851</v>
      </c>
      <c r="D184" s="38" t="s">
        <v>336</v>
      </c>
      <c r="E184" s="38" t="n">
        <v>180</v>
      </c>
      <c r="F184" s="38" t="s">
        <v>851</v>
      </c>
      <c r="G184" s="38" t="s">
        <v>359</v>
      </c>
      <c r="H184" s="38" t="s">
        <v>338</v>
      </c>
      <c r="I184" s="38" t="s">
        <v>643</v>
      </c>
      <c r="J184" s="38" t="s">
        <v>846</v>
      </c>
      <c r="K184" s="38" t="s">
        <v>852</v>
      </c>
      <c r="L184" s="38" t="s">
        <v>342</v>
      </c>
      <c r="M184" s="35" t="s">
        <v>853</v>
      </c>
      <c r="N184" s="38" t="s">
        <v>344</v>
      </c>
      <c r="O184" s="38" t="s">
        <v>21</v>
      </c>
      <c r="P184" s="35"/>
    </row>
    <row r="185" customFormat="false" ht="12.75" hidden="false" customHeight="true" outlineLevel="0" collapsed="false">
      <c r="A185" s="39" t="s">
        <v>854</v>
      </c>
      <c r="B185" s="39" t="s">
        <v>845</v>
      </c>
      <c r="C185" s="39" t="s">
        <v>855</v>
      </c>
      <c r="D185" s="39" t="s">
        <v>336</v>
      </c>
      <c r="E185" s="39" t="n">
        <v>181</v>
      </c>
      <c r="F185" s="39" t="s">
        <v>854</v>
      </c>
      <c r="G185" s="39" t="s">
        <v>359</v>
      </c>
      <c r="H185" s="39" t="s">
        <v>338</v>
      </c>
      <c r="I185" s="39" t="s">
        <v>580</v>
      </c>
      <c r="J185" s="39" t="s">
        <v>846</v>
      </c>
      <c r="K185" s="39" t="s">
        <v>464</v>
      </c>
      <c r="L185" s="39" t="s">
        <v>476</v>
      </c>
      <c r="M185" s="10" t="s">
        <v>856</v>
      </c>
      <c r="N185" s="39" t="s">
        <v>344</v>
      </c>
      <c r="O185" s="39" t="s">
        <v>21</v>
      </c>
      <c r="P185" s="10"/>
    </row>
    <row r="186" customFormat="false" ht="12.75" hidden="false" customHeight="true" outlineLevel="0" collapsed="false">
      <c r="A186" s="38" t="s">
        <v>857</v>
      </c>
      <c r="B186" s="38" t="s">
        <v>845</v>
      </c>
      <c r="C186" s="38" t="s">
        <v>857</v>
      </c>
      <c r="D186" s="38" t="s">
        <v>336</v>
      </c>
      <c r="E186" s="38" t="n">
        <v>182</v>
      </c>
      <c r="F186" s="38" t="s">
        <v>857</v>
      </c>
      <c r="G186" s="38" t="s">
        <v>359</v>
      </c>
      <c r="H186" s="38" t="s">
        <v>348</v>
      </c>
      <c r="I186" s="38" t="s">
        <v>580</v>
      </c>
      <c r="J186" s="38" t="s">
        <v>846</v>
      </c>
      <c r="K186" s="38" t="s">
        <v>627</v>
      </c>
      <c r="L186" s="38" t="s">
        <v>612</v>
      </c>
      <c r="M186" s="35" t="s">
        <v>858</v>
      </c>
      <c r="N186" s="38" t="s">
        <v>344</v>
      </c>
      <c r="O186" s="38" t="s">
        <v>21</v>
      </c>
      <c r="P186" s="35"/>
    </row>
    <row r="187" customFormat="false" ht="12.75" hidden="false" customHeight="true" outlineLevel="0" collapsed="false">
      <c r="A187" s="39" t="s">
        <v>859</v>
      </c>
      <c r="B187" s="39" t="s">
        <v>860</v>
      </c>
      <c r="C187" s="39" t="s">
        <v>861</v>
      </c>
      <c r="D187" s="39" t="s">
        <v>336</v>
      </c>
      <c r="E187" s="39" t="n">
        <v>188</v>
      </c>
      <c r="F187" s="39" t="s">
        <v>862</v>
      </c>
      <c r="G187" s="39" t="s">
        <v>337</v>
      </c>
      <c r="H187" s="39" t="s">
        <v>348</v>
      </c>
      <c r="I187" s="39" t="s">
        <v>580</v>
      </c>
      <c r="J187" s="39" t="s">
        <v>863</v>
      </c>
      <c r="K187" s="39" t="s">
        <v>864</v>
      </c>
      <c r="L187" s="39" t="s">
        <v>865</v>
      </c>
      <c r="M187" s="10" t="s">
        <v>866</v>
      </c>
      <c r="N187" s="39" t="s">
        <v>344</v>
      </c>
      <c r="O187" s="40" t="s">
        <v>23</v>
      </c>
      <c r="P187" s="10"/>
    </row>
    <row r="188" customFormat="false" ht="12.75" hidden="false" customHeight="true" outlineLevel="0" collapsed="false">
      <c r="A188" s="38" t="s">
        <v>97</v>
      </c>
      <c r="B188" s="38" t="s">
        <v>860</v>
      </c>
      <c r="C188" s="38" t="s">
        <v>97</v>
      </c>
      <c r="D188" s="38" t="s">
        <v>336</v>
      </c>
      <c r="E188" s="38" t="n">
        <v>186</v>
      </c>
      <c r="F188" s="38" t="s">
        <v>97</v>
      </c>
      <c r="G188" s="38" t="s">
        <v>337</v>
      </c>
      <c r="H188" s="38" t="s">
        <v>338</v>
      </c>
      <c r="I188" s="38" t="s">
        <v>580</v>
      </c>
      <c r="J188" s="38" t="s">
        <v>355</v>
      </c>
      <c r="K188" s="38" t="s">
        <v>387</v>
      </c>
      <c r="L188" s="38" t="s">
        <v>612</v>
      </c>
      <c r="M188" s="35" t="s">
        <v>867</v>
      </c>
      <c r="N188" s="38" t="s">
        <v>344</v>
      </c>
      <c r="O188" s="38" t="s">
        <v>21</v>
      </c>
      <c r="P188" s="35"/>
    </row>
    <row r="189" customFormat="false" ht="12.75" hidden="false" customHeight="true" outlineLevel="0" collapsed="false">
      <c r="A189" s="39" t="s">
        <v>868</v>
      </c>
      <c r="B189" s="39" t="s">
        <v>860</v>
      </c>
      <c r="C189" s="39" t="s">
        <v>869</v>
      </c>
      <c r="D189" s="39" t="s">
        <v>336</v>
      </c>
      <c r="E189" s="39" t="n">
        <v>187</v>
      </c>
      <c r="F189" s="39" t="s">
        <v>869</v>
      </c>
      <c r="G189" s="39" t="s">
        <v>337</v>
      </c>
      <c r="H189" s="39" t="s">
        <v>348</v>
      </c>
      <c r="I189" s="39" t="s">
        <v>580</v>
      </c>
      <c r="J189" s="39" t="s">
        <v>863</v>
      </c>
      <c r="K189" s="39" t="s">
        <v>870</v>
      </c>
      <c r="L189" s="39" t="s">
        <v>865</v>
      </c>
      <c r="M189" s="10" t="s">
        <v>871</v>
      </c>
      <c r="N189" s="39" t="s">
        <v>344</v>
      </c>
      <c r="O189" s="40" t="s">
        <v>23</v>
      </c>
      <c r="P189" s="10"/>
    </row>
    <row r="190" customFormat="false" ht="12.75" hidden="false" customHeight="true" outlineLevel="0" collapsed="false">
      <c r="A190" s="38" t="s">
        <v>283</v>
      </c>
      <c r="B190" s="38" t="s">
        <v>860</v>
      </c>
      <c r="C190" s="38" t="s">
        <v>283</v>
      </c>
      <c r="D190" s="38" t="s">
        <v>336</v>
      </c>
      <c r="E190" s="38" t="n">
        <v>185</v>
      </c>
      <c r="F190" s="38" t="s">
        <v>283</v>
      </c>
      <c r="G190" s="38" t="s">
        <v>337</v>
      </c>
      <c r="H190" s="38" t="s">
        <v>348</v>
      </c>
      <c r="I190" s="38" t="s">
        <v>580</v>
      </c>
      <c r="J190" s="38" t="s">
        <v>366</v>
      </c>
      <c r="K190" s="38" t="s">
        <v>627</v>
      </c>
      <c r="L190" s="38" t="s">
        <v>612</v>
      </c>
      <c r="M190" s="35" t="s">
        <v>872</v>
      </c>
      <c r="N190" s="38" t="s">
        <v>344</v>
      </c>
      <c r="O190" s="38" t="s">
        <v>21</v>
      </c>
      <c r="P190" s="35"/>
    </row>
    <row r="191" customFormat="false" ht="12.75" hidden="false" customHeight="true" outlineLevel="0" collapsed="false">
      <c r="A191" s="41" t="s">
        <v>873</v>
      </c>
      <c r="B191" s="41" t="s">
        <v>860</v>
      </c>
      <c r="C191" s="41" t="s">
        <v>873</v>
      </c>
      <c r="D191" s="41" t="s">
        <v>371</v>
      </c>
      <c r="E191" s="41"/>
      <c r="F191" s="41"/>
      <c r="G191" s="41"/>
      <c r="H191" s="41"/>
      <c r="I191" s="41"/>
      <c r="J191" s="41"/>
      <c r="K191" s="41"/>
      <c r="L191" s="41"/>
      <c r="M191" s="42"/>
      <c r="N191" s="41" t="s">
        <v>372</v>
      </c>
      <c r="O191" s="41" t="s">
        <v>29</v>
      </c>
      <c r="P191" s="42"/>
    </row>
    <row r="192" customFormat="false" ht="12.75" hidden="false" customHeight="true" outlineLevel="0" collapsed="false">
      <c r="A192" s="38" t="s">
        <v>874</v>
      </c>
      <c r="B192" s="38" t="s">
        <v>875</v>
      </c>
      <c r="C192" s="38" t="s">
        <v>874</v>
      </c>
      <c r="D192" s="38" t="s">
        <v>336</v>
      </c>
      <c r="E192" s="38" t="n">
        <v>207</v>
      </c>
      <c r="F192" s="38" t="s">
        <v>874</v>
      </c>
      <c r="G192" s="38" t="s">
        <v>876</v>
      </c>
      <c r="H192" s="38" t="s">
        <v>338</v>
      </c>
      <c r="I192" s="38" t="s">
        <v>391</v>
      </c>
      <c r="J192" s="38" t="s">
        <v>340</v>
      </c>
      <c r="K192" s="38" t="s">
        <v>420</v>
      </c>
      <c r="L192" s="38" t="s">
        <v>342</v>
      </c>
      <c r="M192" s="35" t="s">
        <v>877</v>
      </c>
      <c r="N192" s="38" t="s">
        <v>344</v>
      </c>
      <c r="O192" s="38" t="s">
        <v>21</v>
      </c>
      <c r="P192" s="35"/>
    </row>
    <row r="193" customFormat="false" ht="12.75" hidden="false" customHeight="true" outlineLevel="0" collapsed="false">
      <c r="A193" s="39" t="s">
        <v>878</v>
      </c>
      <c r="B193" s="39" t="s">
        <v>875</v>
      </c>
      <c r="C193" s="39" t="s">
        <v>878</v>
      </c>
      <c r="D193" s="39" t="s">
        <v>336</v>
      </c>
      <c r="E193" s="39" t="n">
        <v>197</v>
      </c>
      <c r="F193" s="39" t="s">
        <v>878</v>
      </c>
      <c r="G193" s="39" t="s">
        <v>876</v>
      </c>
      <c r="H193" s="39" t="s">
        <v>338</v>
      </c>
      <c r="I193" s="39" t="s">
        <v>391</v>
      </c>
      <c r="J193" s="39" t="s">
        <v>340</v>
      </c>
      <c r="K193" s="39" t="s">
        <v>420</v>
      </c>
      <c r="L193" s="39" t="s">
        <v>342</v>
      </c>
      <c r="M193" s="10" t="s">
        <v>879</v>
      </c>
      <c r="N193" s="39" t="s">
        <v>344</v>
      </c>
      <c r="O193" s="39" t="s">
        <v>21</v>
      </c>
      <c r="P193" s="10"/>
    </row>
    <row r="194" customFormat="false" ht="12.75" hidden="false" customHeight="true" outlineLevel="0" collapsed="false">
      <c r="A194" s="41" t="s">
        <v>880</v>
      </c>
      <c r="B194" s="41" t="s">
        <v>875</v>
      </c>
      <c r="C194" s="41" t="s">
        <v>880</v>
      </c>
      <c r="D194" s="41" t="s">
        <v>336</v>
      </c>
      <c r="E194" s="41"/>
      <c r="F194" s="41"/>
      <c r="G194" s="41"/>
      <c r="H194" s="41"/>
      <c r="I194" s="41"/>
      <c r="J194" s="41"/>
      <c r="K194" s="41"/>
      <c r="L194" s="41"/>
      <c r="M194" s="42"/>
      <c r="N194" s="41" t="s">
        <v>372</v>
      </c>
      <c r="O194" s="41" t="s">
        <v>29</v>
      </c>
      <c r="P194" s="42"/>
    </row>
    <row r="195" customFormat="false" ht="12.75" hidden="false" customHeight="true" outlineLevel="0" collapsed="false">
      <c r="A195" s="39" t="s">
        <v>881</v>
      </c>
      <c r="B195" s="39" t="s">
        <v>875</v>
      </c>
      <c r="C195" s="39" t="s">
        <v>881</v>
      </c>
      <c r="D195" s="39" t="s">
        <v>336</v>
      </c>
      <c r="E195" s="39" t="n">
        <v>206</v>
      </c>
      <c r="F195" s="39" t="s">
        <v>881</v>
      </c>
      <c r="G195" s="39" t="s">
        <v>876</v>
      </c>
      <c r="H195" s="39" t="s">
        <v>338</v>
      </c>
      <c r="I195" s="39" t="s">
        <v>391</v>
      </c>
      <c r="J195" s="39" t="s">
        <v>340</v>
      </c>
      <c r="K195" s="39" t="s">
        <v>420</v>
      </c>
      <c r="L195" s="39" t="s">
        <v>342</v>
      </c>
      <c r="M195" s="10" t="s">
        <v>882</v>
      </c>
      <c r="N195" s="39" t="s">
        <v>344</v>
      </c>
      <c r="O195" s="39" t="s">
        <v>21</v>
      </c>
      <c r="P195" s="10"/>
    </row>
    <row r="196" customFormat="false" ht="12.75" hidden="false" customHeight="true" outlineLevel="0" collapsed="false">
      <c r="A196" s="38" t="s">
        <v>883</v>
      </c>
      <c r="B196" s="38" t="s">
        <v>875</v>
      </c>
      <c r="C196" s="38" t="s">
        <v>883</v>
      </c>
      <c r="D196" s="38" t="s">
        <v>336</v>
      </c>
      <c r="E196" s="38" t="n">
        <v>204</v>
      </c>
      <c r="F196" s="38" t="s">
        <v>883</v>
      </c>
      <c r="G196" s="38" t="s">
        <v>876</v>
      </c>
      <c r="H196" s="38" t="s">
        <v>338</v>
      </c>
      <c r="I196" s="38" t="s">
        <v>391</v>
      </c>
      <c r="J196" s="38" t="s">
        <v>340</v>
      </c>
      <c r="K196" s="38" t="s">
        <v>420</v>
      </c>
      <c r="L196" s="38" t="s">
        <v>342</v>
      </c>
      <c r="M196" s="35" t="s">
        <v>884</v>
      </c>
      <c r="N196" s="38" t="s">
        <v>344</v>
      </c>
      <c r="O196" s="38" t="s">
        <v>21</v>
      </c>
      <c r="P196" s="35"/>
    </row>
    <row r="197" customFormat="false" ht="12.75" hidden="false" customHeight="true" outlineLevel="0" collapsed="false">
      <c r="A197" s="39" t="s">
        <v>885</v>
      </c>
      <c r="B197" s="39" t="s">
        <v>875</v>
      </c>
      <c r="C197" s="39" t="s">
        <v>885</v>
      </c>
      <c r="D197" s="39" t="s">
        <v>336</v>
      </c>
      <c r="E197" s="39" t="n">
        <v>198</v>
      </c>
      <c r="F197" s="39" t="s">
        <v>885</v>
      </c>
      <c r="G197" s="39" t="s">
        <v>876</v>
      </c>
      <c r="H197" s="39" t="s">
        <v>338</v>
      </c>
      <c r="I197" s="39" t="s">
        <v>391</v>
      </c>
      <c r="J197" s="39" t="s">
        <v>340</v>
      </c>
      <c r="K197" s="39" t="s">
        <v>420</v>
      </c>
      <c r="L197" s="39" t="s">
        <v>342</v>
      </c>
      <c r="M197" s="10" t="s">
        <v>886</v>
      </c>
      <c r="N197" s="39" t="s">
        <v>344</v>
      </c>
      <c r="O197" s="39" t="s">
        <v>21</v>
      </c>
      <c r="P197" s="10"/>
    </row>
    <row r="198" customFormat="false" ht="12.75" hidden="false" customHeight="true" outlineLevel="0" collapsed="false">
      <c r="A198" s="38" t="s">
        <v>887</v>
      </c>
      <c r="B198" s="38" t="s">
        <v>875</v>
      </c>
      <c r="C198" s="38" t="s">
        <v>887</v>
      </c>
      <c r="D198" s="38" t="s">
        <v>336</v>
      </c>
      <c r="E198" s="38" t="n">
        <v>205</v>
      </c>
      <c r="F198" s="38" t="s">
        <v>887</v>
      </c>
      <c r="G198" s="38" t="s">
        <v>876</v>
      </c>
      <c r="H198" s="38" t="s">
        <v>338</v>
      </c>
      <c r="I198" s="38" t="s">
        <v>391</v>
      </c>
      <c r="J198" s="38" t="s">
        <v>340</v>
      </c>
      <c r="K198" s="38" t="s">
        <v>420</v>
      </c>
      <c r="L198" s="38" t="s">
        <v>342</v>
      </c>
      <c r="M198" s="35" t="s">
        <v>888</v>
      </c>
      <c r="N198" s="38" t="s">
        <v>344</v>
      </c>
      <c r="O198" s="38" t="s">
        <v>21</v>
      </c>
      <c r="P198" s="35"/>
    </row>
    <row r="199" customFormat="false" ht="12.75" hidden="false" customHeight="true" outlineLevel="0" collapsed="false">
      <c r="A199" s="39" t="s">
        <v>889</v>
      </c>
      <c r="B199" s="39" t="s">
        <v>875</v>
      </c>
      <c r="C199" s="39" t="s">
        <v>889</v>
      </c>
      <c r="D199" s="39" t="s">
        <v>336</v>
      </c>
      <c r="E199" s="39" t="n">
        <v>200</v>
      </c>
      <c r="F199" s="39" t="s">
        <v>889</v>
      </c>
      <c r="G199" s="39" t="s">
        <v>876</v>
      </c>
      <c r="H199" s="39" t="s">
        <v>338</v>
      </c>
      <c r="I199" s="39" t="s">
        <v>391</v>
      </c>
      <c r="J199" s="39" t="s">
        <v>340</v>
      </c>
      <c r="K199" s="39" t="s">
        <v>420</v>
      </c>
      <c r="L199" s="39" t="s">
        <v>342</v>
      </c>
      <c r="M199" s="10" t="s">
        <v>890</v>
      </c>
      <c r="N199" s="39" t="s">
        <v>344</v>
      </c>
      <c r="O199" s="39" t="s">
        <v>21</v>
      </c>
      <c r="P199" s="10"/>
    </row>
    <row r="200" customFormat="false" ht="12.75" hidden="false" customHeight="true" outlineLevel="0" collapsed="false">
      <c r="A200" s="38" t="s">
        <v>891</v>
      </c>
      <c r="B200" s="38" t="s">
        <v>875</v>
      </c>
      <c r="C200" s="38" t="s">
        <v>891</v>
      </c>
      <c r="D200" s="38" t="s">
        <v>336</v>
      </c>
      <c r="E200" s="38" t="n">
        <v>208</v>
      </c>
      <c r="F200" s="38" t="s">
        <v>891</v>
      </c>
      <c r="G200" s="38" t="s">
        <v>876</v>
      </c>
      <c r="H200" s="38" t="s">
        <v>338</v>
      </c>
      <c r="I200" s="38" t="s">
        <v>391</v>
      </c>
      <c r="J200" s="38" t="s">
        <v>340</v>
      </c>
      <c r="K200" s="38" t="s">
        <v>420</v>
      </c>
      <c r="L200" s="38" t="s">
        <v>342</v>
      </c>
      <c r="M200" s="35" t="s">
        <v>892</v>
      </c>
      <c r="N200" s="38" t="s">
        <v>344</v>
      </c>
      <c r="O200" s="38" t="s">
        <v>21</v>
      </c>
      <c r="P200" s="35"/>
    </row>
    <row r="201" customFormat="false" ht="12.75" hidden="false" customHeight="true" outlineLevel="0" collapsed="false">
      <c r="A201" s="39" t="s">
        <v>893</v>
      </c>
      <c r="B201" s="39" t="s">
        <v>875</v>
      </c>
      <c r="C201" s="39" t="s">
        <v>893</v>
      </c>
      <c r="D201" s="39" t="s">
        <v>336</v>
      </c>
      <c r="E201" s="39" t="n">
        <v>210</v>
      </c>
      <c r="F201" s="39" t="s">
        <v>893</v>
      </c>
      <c r="G201" s="39" t="s">
        <v>876</v>
      </c>
      <c r="H201" s="39" t="s">
        <v>338</v>
      </c>
      <c r="I201" s="39" t="s">
        <v>391</v>
      </c>
      <c r="J201" s="39" t="s">
        <v>340</v>
      </c>
      <c r="K201" s="39" t="s">
        <v>420</v>
      </c>
      <c r="L201" s="39" t="s">
        <v>342</v>
      </c>
      <c r="M201" s="10" t="s">
        <v>894</v>
      </c>
      <c r="N201" s="39" t="s">
        <v>344</v>
      </c>
      <c r="O201" s="39" t="s">
        <v>21</v>
      </c>
      <c r="P201" s="10"/>
    </row>
    <row r="202" customFormat="false" ht="12.75" hidden="false" customHeight="true" outlineLevel="0" collapsed="false">
      <c r="A202" s="38" t="s">
        <v>895</v>
      </c>
      <c r="B202" s="38" t="s">
        <v>875</v>
      </c>
      <c r="C202" s="38" t="s">
        <v>895</v>
      </c>
      <c r="D202" s="38" t="s">
        <v>336</v>
      </c>
      <c r="E202" s="38" t="n">
        <v>209</v>
      </c>
      <c r="F202" s="38" t="s">
        <v>895</v>
      </c>
      <c r="G202" s="38" t="s">
        <v>876</v>
      </c>
      <c r="H202" s="38" t="s">
        <v>338</v>
      </c>
      <c r="I202" s="38" t="s">
        <v>391</v>
      </c>
      <c r="J202" s="38" t="s">
        <v>340</v>
      </c>
      <c r="K202" s="38" t="s">
        <v>420</v>
      </c>
      <c r="L202" s="38" t="s">
        <v>342</v>
      </c>
      <c r="M202" s="35" t="s">
        <v>896</v>
      </c>
      <c r="N202" s="38" t="s">
        <v>344</v>
      </c>
      <c r="O202" s="38" t="s">
        <v>21</v>
      </c>
      <c r="P202" s="35"/>
    </row>
    <row r="203" customFormat="false" ht="12.75" hidden="false" customHeight="true" outlineLevel="0" collapsed="false">
      <c r="A203" s="39" t="s">
        <v>897</v>
      </c>
      <c r="B203" s="39" t="s">
        <v>875</v>
      </c>
      <c r="C203" s="39" t="s">
        <v>897</v>
      </c>
      <c r="D203" s="39" t="s">
        <v>336</v>
      </c>
      <c r="E203" s="39" t="n">
        <v>201</v>
      </c>
      <c r="F203" s="39" t="s">
        <v>897</v>
      </c>
      <c r="G203" s="39" t="s">
        <v>876</v>
      </c>
      <c r="H203" s="39" t="s">
        <v>338</v>
      </c>
      <c r="I203" s="39" t="s">
        <v>391</v>
      </c>
      <c r="J203" s="39" t="s">
        <v>340</v>
      </c>
      <c r="K203" s="39" t="s">
        <v>420</v>
      </c>
      <c r="L203" s="39" t="s">
        <v>342</v>
      </c>
      <c r="M203" s="10" t="s">
        <v>898</v>
      </c>
      <c r="N203" s="39" t="s">
        <v>344</v>
      </c>
      <c r="O203" s="39" t="s">
        <v>21</v>
      </c>
      <c r="P203" s="10"/>
    </row>
    <row r="204" customFormat="false" ht="12.75" hidden="false" customHeight="true" outlineLevel="0" collapsed="false">
      <c r="A204" s="38" t="s">
        <v>899</v>
      </c>
      <c r="B204" s="38" t="s">
        <v>875</v>
      </c>
      <c r="C204" s="38" t="s">
        <v>899</v>
      </c>
      <c r="D204" s="38" t="s">
        <v>336</v>
      </c>
      <c r="E204" s="38" t="n">
        <v>199</v>
      </c>
      <c r="F204" s="38" t="s">
        <v>899</v>
      </c>
      <c r="G204" s="38" t="s">
        <v>876</v>
      </c>
      <c r="H204" s="38" t="s">
        <v>338</v>
      </c>
      <c r="I204" s="38" t="s">
        <v>391</v>
      </c>
      <c r="J204" s="38" t="s">
        <v>340</v>
      </c>
      <c r="K204" s="38" t="s">
        <v>420</v>
      </c>
      <c r="L204" s="38" t="s">
        <v>342</v>
      </c>
      <c r="M204" s="35" t="s">
        <v>900</v>
      </c>
      <c r="N204" s="38" t="s">
        <v>344</v>
      </c>
      <c r="O204" s="38" t="s">
        <v>21</v>
      </c>
      <c r="P204" s="35"/>
    </row>
    <row r="205" customFormat="false" ht="12.75" hidden="false" customHeight="true" outlineLevel="0" collapsed="false">
      <c r="A205" s="39" t="s">
        <v>901</v>
      </c>
      <c r="B205" s="39" t="s">
        <v>875</v>
      </c>
      <c r="C205" s="39" t="s">
        <v>901</v>
      </c>
      <c r="D205" s="39" t="s">
        <v>336</v>
      </c>
      <c r="E205" s="39" t="n">
        <v>203</v>
      </c>
      <c r="F205" s="39" t="s">
        <v>901</v>
      </c>
      <c r="G205" s="39" t="s">
        <v>876</v>
      </c>
      <c r="H205" s="39" t="s">
        <v>338</v>
      </c>
      <c r="I205" s="39" t="s">
        <v>391</v>
      </c>
      <c r="J205" s="39" t="s">
        <v>340</v>
      </c>
      <c r="K205" s="39" t="s">
        <v>420</v>
      </c>
      <c r="L205" s="39" t="s">
        <v>342</v>
      </c>
      <c r="M205" s="10" t="s">
        <v>902</v>
      </c>
      <c r="N205" s="39" t="s">
        <v>344</v>
      </c>
      <c r="O205" s="39" t="s">
        <v>21</v>
      </c>
      <c r="P205" s="10"/>
    </row>
    <row r="206" customFormat="false" ht="12.75" hidden="false" customHeight="true" outlineLevel="0" collapsed="false">
      <c r="A206" s="38" t="s">
        <v>903</v>
      </c>
      <c r="B206" s="38" t="s">
        <v>875</v>
      </c>
      <c r="C206" s="38" t="s">
        <v>903</v>
      </c>
      <c r="D206" s="38" t="s">
        <v>336</v>
      </c>
      <c r="E206" s="38" t="n">
        <v>202</v>
      </c>
      <c r="F206" s="38" t="s">
        <v>903</v>
      </c>
      <c r="G206" s="38" t="s">
        <v>876</v>
      </c>
      <c r="H206" s="38" t="s">
        <v>338</v>
      </c>
      <c r="I206" s="38" t="s">
        <v>391</v>
      </c>
      <c r="J206" s="38" t="s">
        <v>340</v>
      </c>
      <c r="K206" s="38" t="s">
        <v>420</v>
      </c>
      <c r="L206" s="38" t="s">
        <v>342</v>
      </c>
      <c r="M206" s="35" t="s">
        <v>904</v>
      </c>
      <c r="N206" s="38" t="s">
        <v>344</v>
      </c>
      <c r="O206" s="38" t="s">
        <v>21</v>
      </c>
      <c r="P206" s="35"/>
    </row>
    <row r="207" customFormat="false" ht="12.75" hidden="false" customHeight="true" outlineLevel="0" collapsed="false">
      <c r="A207" s="39" t="s">
        <v>905</v>
      </c>
      <c r="B207" s="39" t="s">
        <v>875</v>
      </c>
      <c r="C207" s="39" t="s">
        <v>905</v>
      </c>
      <c r="D207" s="39" t="s">
        <v>336</v>
      </c>
      <c r="E207" s="39" t="n">
        <v>212</v>
      </c>
      <c r="F207" s="39" t="s">
        <v>905</v>
      </c>
      <c r="G207" s="39" t="s">
        <v>876</v>
      </c>
      <c r="H207" s="39" t="s">
        <v>906</v>
      </c>
      <c r="I207" s="39" t="s">
        <v>907</v>
      </c>
      <c r="J207" s="39" t="s">
        <v>340</v>
      </c>
      <c r="K207" s="39" t="s">
        <v>420</v>
      </c>
      <c r="L207" s="39" t="s">
        <v>342</v>
      </c>
      <c r="M207" s="10" t="s">
        <v>908</v>
      </c>
      <c r="N207" s="39" t="s">
        <v>344</v>
      </c>
      <c r="O207" s="39" t="s">
        <v>21</v>
      </c>
      <c r="P207" s="10"/>
    </row>
    <row r="208" customFormat="false" ht="12.75" hidden="false" customHeight="true" outlineLevel="0" collapsed="false">
      <c r="A208" s="38" t="s">
        <v>909</v>
      </c>
      <c r="B208" s="38" t="s">
        <v>875</v>
      </c>
      <c r="C208" s="38" t="s">
        <v>909</v>
      </c>
      <c r="D208" s="38" t="s">
        <v>336</v>
      </c>
      <c r="E208" s="38" t="n">
        <v>211</v>
      </c>
      <c r="F208" s="38" t="s">
        <v>909</v>
      </c>
      <c r="G208" s="38" t="s">
        <v>876</v>
      </c>
      <c r="H208" s="38" t="s">
        <v>338</v>
      </c>
      <c r="I208" s="38" t="s">
        <v>391</v>
      </c>
      <c r="J208" s="38" t="s">
        <v>340</v>
      </c>
      <c r="K208" s="38" t="s">
        <v>420</v>
      </c>
      <c r="L208" s="38" t="s">
        <v>342</v>
      </c>
      <c r="M208" s="35" t="s">
        <v>910</v>
      </c>
      <c r="N208" s="38" t="s">
        <v>344</v>
      </c>
      <c r="O208" s="38" t="s">
        <v>21</v>
      </c>
      <c r="P208" s="35"/>
    </row>
    <row r="209" customFormat="false" ht="12.75" hidden="false" customHeight="true" outlineLevel="0" collapsed="false">
      <c r="A209" s="39" t="s">
        <v>911</v>
      </c>
      <c r="B209" s="39" t="s">
        <v>875</v>
      </c>
      <c r="C209" s="39" t="s">
        <v>911</v>
      </c>
      <c r="D209" s="39" t="s">
        <v>336</v>
      </c>
      <c r="E209" s="39" t="n">
        <v>191</v>
      </c>
      <c r="F209" s="39" t="s">
        <v>911</v>
      </c>
      <c r="G209" s="39" t="s">
        <v>876</v>
      </c>
      <c r="H209" s="39" t="s">
        <v>338</v>
      </c>
      <c r="I209" s="39" t="s">
        <v>365</v>
      </c>
      <c r="J209" s="39" t="s">
        <v>355</v>
      </c>
      <c r="K209" s="39" t="s">
        <v>374</v>
      </c>
      <c r="L209" s="39" t="s">
        <v>368</v>
      </c>
      <c r="M209" s="10" t="s">
        <v>912</v>
      </c>
      <c r="N209" s="39" t="s">
        <v>344</v>
      </c>
      <c r="O209" s="39" t="s">
        <v>21</v>
      </c>
      <c r="P209" s="10"/>
    </row>
    <row r="210" customFormat="false" ht="12.75" hidden="false" customHeight="true" outlineLevel="0" collapsed="false">
      <c r="A210" s="38" t="s">
        <v>913</v>
      </c>
      <c r="B210" s="38" t="s">
        <v>875</v>
      </c>
      <c r="C210" s="38" t="s">
        <v>913</v>
      </c>
      <c r="D210" s="38" t="s">
        <v>371</v>
      </c>
      <c r="E210" s="38" t="n">
        <v>195</v>
      </c>
      <c r="F210" s="38" t="s">
        <v>913</v>
      </c>
      <c r="G210" s="38" t="s">
        <v>876</v>
      </c>
      <c r="H210" s="38" t="s">
        <v>338</v>
      </c>
      <c r="I210" s="38" t="s">
        <v>365</v>
      </c>
      <c r="J210" s="38" t="s">
        <v>355</v>
      </c>
      <c r="K210" s="38" t="s">
        <v>374</v>
      </c>
      <c r="L210" s="38" t="s">
        <v>368</v>
      </c>
      <c r="M210" s="35" t="s">
        <v>914</v>
      </c>
      <c r="N210" s="38" t="s">
        <v>344</v>
      </c>
      <c r="O210" s="38" t="s">
        <v>21</v>
      </c>
      <c r="P210" s="35"/>
    </row>
    <row r="211" customFormat="false" ht="12.75" hidden="false" customHeight="true" outlineLevel="0" collapsed="false">
      <c r="A211" s="39" t="s">
        <v>915</v>
      </c>
      <c r="B211" s="39" t="s">
        <v>875</v>
      </c>
      <c r="C211" s="39" t="s">
        <v>915</v>
      </c>
      <c r="D211" s="39" t="s">
        <v>336</v>
      </c>
      <c r="E211" s="39" t="n">
        <v>193</v>
      </c>
      <c r="F211" s="39" t="s">
        <v>915</v>
      </c>
      <c r="G211" s="39" t="s">
        <v>876</v>
      </c>
      <c r="H211" s="39" t="s">
        <v>348</v>
      </c>
      <c r="I211" s="39" t="s">
        <v>391</v>
      </c>
      <c r="J211" s="39" t="s">
        <v>355</v>
      </c>
      <c r="K211" s="39" t="s">
        <v>374</v>
      </c>
      <c r="L211" s="39" t="s">
        <v>368</v>
      </c>
      <c r="M211" s="10" t="s">
        <v>916</v>
      </c>
      <c r="N211" s="39" t="s">
        <v>344</v>
      </c>
      <c r="O211" s="39" t="s">
        <v>21</v>
      </c>
      <c r="P211" s="10"/>
    </row>
    <row r="212" customFormat="false" ht="12.75" hidden="false" customHeight="true" outlineLevel="0" collapsed="false">
      <c r="A212" s="38" t="s">
        <v>917</v>
      </c>
      <c r="B212" s="38" t="s">
        <v>875</v>
      </c>
      <c r="C212" s="38" t="s">
        <v>917</v>
      </c>
      <c r="D212" s="38" t="s">
        <v>336</v>
      </c>
      <c r="E212" s="38" t="n">
        <v>192</v>
      </c>
      <c r="F212" s="38" t="s">
        <v>917</v>
      </c>
      <c r="G212" s="38" t="s">
        <v>876</v>
      </c>
      <c r="H212" s="38" t="s">
        <v>338</v>
      </c>
      <c r="I212" s="38" t="s">
        <v>365</v>
      </c>
      <c r="J212" s="38" t="s">
        <v>355</v>
      </c>
      <c r="K212" s="38" t="s">
        <v>374</v>
      </c>
      <c r="L212" s="38" t="s">
        <v>368</v>
      </c>
      <c r="M212" s="35" t="s">
        <v>918</v>
      </c>
      <c r="N212" s="38" t="s">
        <v>344</v>
      </c>
      <c r="O212" s="38" t="s">
        <v>21</v>
      </c>
      <c r="P212" s="35"/>
    </row>
    <row r="213" customFormat="false" ht="12.75" hidden="false" customHeight="true" outlineLevel="0" collapsed="false">
      <c r="A213" s="39" t="s">
        <v>919</v>
      </c>
      <c r="B213" s="39" t="s">
        <v>875</v>
      </c>
      <c r="C213" s="39" t="s">
        <v>919</v>
      </c>
      <c r="D213" s="39" t="s">
        <v>336</v>
      </c>
      <c r="E213" s="39" t="n">
        <v>194</v>
      </c>
      <c r="F213" s="39" t="s">
        <v>919</v>
      </c>
      <c r="G213" s="39" t="s">
        <v>876</v>
      </c>
      <c r="H213" s="39" t="s">
        <v>338</v>
      </c>
      <c r="I213" s="39" t="s">
        <v>365</v>
      </c>
      <c r="J213" s="39" t="s">
        <v>355</v>
      </c>
      <c r="K213" s="39" t="s">
        <v>374</v>
      </c>
      <c r="L213" s="39" t="s">
        <v>368</v>
      </c>
      <c r="M213" s="10" t="s">
        <v>920</v>
      </c>
      <c r="N213" s="39" t="s">
        <v>344</v>
      </c>
      <c r="O213" s="39" t="s">
        <v>21</v>
      </c>
      <c r="P213" s="10"/>
    </row>
    <row r="214" customFormat="false" ht="12.75" hidden="false" customHeight="true" outlineLevel="0" collapsed="false">
      <c r="A214" s="38" t="s">
        <v>921</v>
      </c>
      <c r="B214" s="38" t="s">
        <v>922</v>
      </c>
      <c r="C214" s="38" t="s">
        <v>921</v>
      </c>
      <c r="D214" s="38" t="s">
        <v>923</v>
      </c>
      <c r="E214" s="38" t="n">
        <v>218</v>
      </c>
      <c r="F214" s="38" t="s">
        <v>924</v>
      </c>
      <c r="G214" s="38" t="s">
        <v>925</v>
      </c>
      <c r="H214" s="38" t="s">
        <v>906</v>
      </c>
      <c r="I214" s="38" t="s">
        <v>926</v>
      </c>
      <c r="J214" s="38" t="s">
        <v>648</v>
      </c>
      <c r="K214" s="38" t="s">
        <v>627</v>
      </c>
      <c r="L214" s="38" t="s">
        <v>612</v>
      </c>
      <c r="M214" s="35" t="s">
        <v>927</v>
      </c>
      <c r="N214" s="38" t="s">
        <v>344</v>
      </c>
      <c r="O214" s="40" t="s">
        <v>23</v>
      </c>
      <c r="P214" s="35"/>
    </row>
    <row r="215" customFormat="false" ht="12.75" hidden="false" customHeight="true" outlineLevel="0" collapsed="false">
      <c r="A215" s="39" t="s">
        <v>928</v>
      </c>
      <c r="B215" s="39" t="s">
        <v>922</v>
      </c>
      <c r="C215" s="39" t="s">
        <v>928</v>
      </c>
      <c r="D215" s="39" t="s">
        <v>923</v>
      </c>
      <c r="E215" s="39" t="n">
        <v>216</v>
      </c>
      <c r="F215" s="39" t="s">
        <v>929</v>
      </c>
      <c r="G215" s="39" t="s">
        <v>925</v>
      </c>
      <c r="H215" s="39" t="s">
        <v>906</v>
      </c>
      <c r="I215" s="39" t="s">
        <v>926</v>
      </c>
      <c r="J215" s="39" t="s">
        <v>453</v>
      </c>
      <c r="K215" s="39" t="s">
        <v>930</v>
      </c>
      <c r="L215" s="39" t="s">
        <v>455</v>
      </c>
      <c r="M215" s="10" t="s">
        <v>931</v>
      </c>
      <c r="N215" s="39" t="s">
        <v>344</v>
      </c>
      <c r="O215" s="40" t="s">
        <v>23</v>
      </c>
      <c r="P215" s="10"/>
    </row>
    <row r="216" customFormat="false" ht="12.75" hidden="false" customHeight="true" outlineLevel="0" collapsed="false">
      <c r="A216" s="38" t="s">
        <v>932</v>
      </c>
      <c r="B216" s="38" t="s">
        <v>922</v>
      </c>
      <c r="C216" s="38" t="s">
        <v>932</v>
      </c>
      <c r="D216" s="38" t="s">
        <v>923</v>
      </c>
      <c r="E216" s="38" t="n">
        <v>219</v>
      </c>
      <c r="F216" s="38" t="s">
        <v>933</v>
      </c>
      <c r="G216" s="38" t="s">
        <v>925</v>
      </c>
      <c r="H216" s="38" t="s">
        <v>906</v>
      </c>
      <c r="I216" s="38" t="s">
        <v>926</v>
      </c>
      <c r="J216" s="38" t="s">
        <v>610</v>
      </c>
      <c r="K216" s="38" t="s">
        <v>934</v>
      </c>
      <c r="L216" s="38" t="s">
        <v>388</v>
      </c>
      <c r="M216" s="35" t="s">
        <v>935</v>
      </c>
      <c r="N216" s="38" t="s">
        <v>344</v>
      </c>
      <c r="O216" s="40" t="s">
        <v>23</v>
      </c>
      <c r="P216" s="35"/>
    </row>
    <row r="217" customFormat="false" ht="12.75" hidden="false" customHeight="true" outlineLevel="0" collapsed="false">
      <c r="A217" s="39" t="s">
        <v>936</v>
      </c>
      <c r="B217" s="39" t="s">
        <v>922</v>
      </c>
      <c r="C217" s="39" t="s">
        <v>936</v>
      </c>
      <c r="D217" s="39" t="s">
        <v>923</v>
      </c>
      <c r="E217" s="39" t="n">
        <v>220</v>
      </c>
      <c r="F217" s="39" t="s">
        <v>937</v>
      </c>
      <c r="G217" s="39" t="s">
        <v>925</v>
      </c>
      <c r="H217" s="39" t="s">
        <v>906</v>
      </c>
      <c r="I217" s="39" t="s">
        <v>926</v>
      </c>
      <c r="J217" s="39" t="s">
        <v>378</v>
      </c>
      <c r="K217" s="39" t="s">
        <v>379</v>
      </c>
      <c r="L217" s="39" t="s">
        <v>380</v>
      </c>
      <c r="M217" s="10" t="s">
        <v>938</v>
      </c>
      <c r="N217" s="39" t="s">
        <v>344</v>
      </c>
      <c r="O217" s="40" t="s">
        <v>23</v>
      </c>
      <c r="P217" s="10"/>
    </row>
    <row r="218" customFormat="false" ht="12.75" hidden="false" customHeight="true" outlineLevel="0" collapsed="false">
      <c r="A218" s="38" t="s">
        <v>939</v>
      </c>
      <c r="B218" s="38" t="s">
        <v>922</v>
      </c>
      <c r="C218" s="38" t="s">
        <v>939</v>
      </c>
      <c r="D218" s="38" t="s">
        <v>923</v>
      </c>
      <c r="E218" s="38" t="n">
        <v>221</v>
      </c>
      <c r="F218" s="38" t="s">
        <v>940</v>
      </c>
      <c r="G218" s="38" t="s">
        <v>925</v>
      </c>
      <c r="H218" s="38" t="s">
        <v>906</v>
      </c>
      <c r="I218" s="38" t="s">
        <v>926</v>
      </c>
      <c r="J218" s="38" t="s">
        <v>355</v>
      </c>
      <c r="K218" s="38" t="s">
        <v>374</v>
      </c>
      <c r="L218" s="38" t="s">
        <v>368</v>
      </c>
      <c r="M218" s="35" t="s">
        <v>941</v>
      </c>
      <c r="N218" s="38" t="s">
        <v>344</v>
      </c>
      <c r="O218" s="40" t="s">
        <v>23</v>
      </c>
      <c r="P218" s="35"/>
    </row>
    <row r="219" customFormat="false" ht="12.75" hidden="false" customHeight="true" outlineLevel="0" collapsed="false">
      <c r="A219" s="39" t="s">
        <v>942</v>
      </c>
      <c r="B219" s="39" t="s">
        <v>922</v>
      </c>
      <c r="C219" s="39" t="s">
        <v>942</v>
      </c>
      <c r="D219" s="39" t="s">
        <v>923</v>
      </c>
      <c r="E219" s="39" t="n">
        <v>222</v>
      </c>
      <c r="F219" s="39" t="s">
        <v>943</v>
      </c>
      <c r="G219" s="39" t="s">
        <v>925</v>
      </c>
      <c r="H219" s="39" t="s">
        <v>906</v>
      </c>
      <c r="I219" s="39" t="s">
        <v>944</v>
      </c>
      <c r="J219" s="39" t="s">
        <v>945</v>
      </c>
      <c r="K219" s="39" t="s">
        <v>655</v>
      </c>
      <c r="L219" s="39" t="s">
        <v>506</v>
      </c>
      <c r="M219" s="10" t="s">
        <v>946</v>
      </c>
      <c r="N219" s="39" t="s">
        <v>344</v>
      </c>
      <c r="O219" s="40" t="s">
        <v>23</v>
      </c>
      <c r="P219" s="10"/>
    </row>
    <row r="220" customFormat="false" ht="12.75" hidden="false" customHeight="true" outlineLevel="0" collapsed="false">
      <c r="A220" s="38" t="s">
        <v>947</v>
      </c>
      <c r="B220" s="38" t="s">
        <v>922</v>
      </c>
      <c r="C220" s="38" t="s">
        <v>947</v>
      </c>
      <c r="D220" s="38" t="s">
        <v>923</v>
      </c>
      <c r="E220" s="38" t="n">
        <v>214</v>
      </c>
      <c r="F220" s="38" t="s">
        <v>948</v>
      </c>
      <c r="G220" s="38" t="s">
        <v>925</v>
      </c>
      <c r="H220" s="38" t="s">
        <v>906</v>
      </c>
      <c r="I220" s="38" t="s">
        <v>926</v>
      </c>
      <c r="J220" s="38" t="s">
        <v>355</v>
      </c>
      <c r="K220" s="38" t="s">
        <v>374</v>
      </c>
      <c r="L220" s="38" t="s">
        <v>368</v>
      </c>
      <c r="M220" s="35" t="s">
        <v>949</v>
      </c>
      <c r="N220" s="38" t="s">
        <v>344</v>
      </c>
      <c r="O220" s="40" t="s">
        <v>23</v>
      </c>
      <c r="P220" s="35"/>
    </row>
    <row r="221" customFormat="false" ht="12.75" hidden="false" customHeight="true" outlineLevel="0" collapsed="false">
      <c r="A221" s="39" t="s">
        <v>950</v>
      </c>
      <c r="B221" s="39" t="s">
        <v>922</v>
      </c>
      <c r="C221" s="39" t="s">
        <v>950</v>
      </c>
      <c r="D221" s="39" t="s">
        <v>923</v>
      </c>
      <c r="E221" s="39" t="n">
        <v>215</v>
      </c>
      <c r="F221" s="39" t="s">
        <v>951</v>
      </c>
      <c r="G221" s="39" t="s">
        <v>925</v>
      </c>
      <c r="H221" s="39" t="s">
        <v>906</v>
      </c>
      <c r="I221" s="39" t="s">
        <v>926</v>
      </c>
      <c r="J221" s="39" t="s">
        <v>488</v>
      </c>
      <c r="K221" s="39" t="s">
        <v>952</v>
      </c>
      <c r="L221" s="39" t="s">
        <v>953</v>
      </c>
      <c r="M221" s="10" t="s">
        <v>954</v>
      </c>
      <c r="N221" s="39" t="s">
        <v>344</v>
      </c>
      <c r="O221" s="40" t="s">
        <v>23</v>
      </c>
      <c r="P221" s="10"/>
    </row>
    <row r="222" customFormat="false" ht="12.75" hidden="false" customHeight="true" outlineLevel="0" collapsed="false">
      <c r="A222" s="38" t="s">
        <v>955</v>
      </c>
      <c r="B222" s="38" t="s">
        <v>922</v>
      </c>
      <c r="C222" s="38" t="s">
        <v>955</v>
      </c>
      <c r="D222" s="38" t="s">
        <v>923</v>
      </c>
      <c r="E222" s="38" t="n">
        <v>217</v>
      </c>
      <c r="F222" s="38" t="s">
        <v>956</v>
      </c>
      <c r="G222" s="38" t="s">
        <v>925</v>
      </c>
      <c r="H222" s="38" t="s">
        <v>906</v>
      </c>
      <c r="I222" s="38" t="s">
        <v>926</v>
      </c>
      <c r="J222" s="38" t="s">
        <v>355</v>
      </c>
      <c r="K222" s="38" t="s">
        <v>374</v>
      </c>
      <c r="L222" s="38" t="s">
        <v>368</v>
      </c>
      <c r="M222" s="35" t="s">
        <v>957</v>
      </c>
      <c r="N222" s="38" t="s">
        <v>344</v>
      </c>
      <c r="O222" s="40" t="s">
        <v>23</v>
      </c>
      <c r="P222" s="35"/>
    </row>
    <row r="223" customFormat="false" ht="12.75" hidden="false" customHeight="true" outlineLevel="0" collapsed="false">
      <c r="A223" s="39" t="s">
        <v>958</v>
      </c>
      <c r="B223" s="39" t="s">
        <v>922</v>
      </c>
      <c r="C223" s="39" t="s">
        <v>958</v>
      </c>
      <c r="D223" s="39" t="s">
        <v>923</v>
      </c>
      <c r="E223" s="39" t="n">
        <v>213</v>
      </c>
      <c r="F223" s="39" t="s">
        <v>959</v>
      </c>
      <c r="G223" s="39" t="s">
        <v>925</v>
      </c>
      <c r="H223" s="39" t="s">
        <v>906</v>
      </c>
      <c r="I223" s="39" t="s">
        <v>926</v>
      </c>
      <c r="J223" s="39" t="s">
        <v>581</v>
      </c>
      <c r="K223" s="39" t="s">
        <v>960</v>
      </c>
      <c r="L223" s="39" t="s">
        <v>961</v>
      </c>
      <c r="M223" s="10" t="s">
        <v>962</v>
      </c>
      <c r="N223" s="39" t="s">
        <v>344</v>
      </c>
      <c r="O223" s="40" t="s">
        <v>23</v>
      </c>
      <c r="P223" s="10"/>
    </row>
  </sheetData>
  <autoFilter ref="A1:P223"/>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&amp;LPolicy Mapping&amp;R&amp;P of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6"/>
    <col collapsed="false" customWidth="true" hidden="false" outlineLevel="0" max="4" min="4" style="0" width="74"/>
  </cols>
  <sheetData>
    <row r="1" customFormat="false" ht="30" hidden="false" customHeight="true" outlineLevel="0" collapsed="false">
      <c r="A1" s="7" t="s">
        <v>963</v>
      </c>
      <c r="B1" s="7" t="s">
        <v>964</v>
      </c>
      <c r="C1" s="7" t="s">
        <v>965</v>
      </c>
      <c r="D1" s="7" t="s">
        <v>966</v>
      </c>
    </row>
    <row r="2" customFormat="false" ht="22.35" hidden="false" customHeight="false" outlineLevel="0" collapsed="false">
      <c r="A2" s="38" t="s">
        <v>330</v>
      </c>
      <c r="B2" s="43" t="s">
        <v>342</v>
      </c>
      <c r="C2" s="44" t="n">
        <f aca="false">COUNTIFS('Policy x Control'!A:A,A2,'Policy x Control'!B:B,B2)</f>
        <v>65</v>
      </c>
      <c r="D2" s="45" t="s">
        <v>967</v>
      </c>
    </row>
    <row r="3" customFormat="false" ht="43.25" hidden="false" customHeight="false" outlineLevel="0" collapsed="false">
      <c r="A3" s="39" t="s">
        <v>330</v>
      </c>
      <c r="B3" s="46" t="s">
        <v>612</v>
      </c>
      <c r="C3" s="47" t="n">
        <f aca="false">COUNTIFS('Policy x Control'!A:A,A3,'Policy x Control'!B:B,B3)</f>
        <v>39</v>
      </c>
      <c r="D3" s="48" t="s">
        <v>968</v>
      </c>
    </row>
    <row r="4" customFormat="false" ht="32.8" hidden="false" customHeight="false" outlineLevel="0" collapsed="false">
      <c r="A4" s="38" t="s">
        <v>330</v>
      </c>
      <c r="B4" s="43" t="s">
        <v>476</v>
      </c>
      <c r="C4" s="44" t="n">
        <f aca="false">COUNTIFS('Policy x Control'!A:A,A4,'Policy x Control'!B:B,B4)</f>
        <v>23</v>
      </c>
      <c r="D4" s="45" t="s">
        <v>969</v>
      </c>
    </row>
    <row r="5" customFormat="false" ht="15" hidden="false" customHeight="false" outlineLevel="0" collapsed="false">
      <c r="A5" s="39" t="s">
        <v>330</v>
      </c>
      <c r="B5" s="46" t="s">
        <v>506</v>
      </c>
      <c r="C5" s="47" t="n">
        <f aca="false">COUNTIFS('Policy x Control'!A:A,A5,'Policy x Control'!B:B,B5)</f>
        <v>21</v>
      </c>
      <c r="D5" s="48" t="s">
        <v>970</v>
      </c>
    </row>
    <row r="6" customFormat="false" ht="15" hidden="false" customHeight="false" outlineLevel="0" collapsed="false">
      <c r="A6" s="38" t="s">
        <v>330</v>
      </c>
      <c r="B6" s="43" t="s">
        <v>380</v>
      </c>
      <c r="C6" s="44" t="n">
        <f aca="false">COUNTIFS('Policy x Control'!A:A,A6,'Policy x Control'!B:B,B6)</f>
        <v>17</v>
      </c>
      <c r="D6" s="45" t="s">
        <v>971</v>
      </c>
    </row>
    <row r="7" customFormat="false" ht="15" hidden="false" customHeight="false" outlineLevel="0" collapsed="false">
      <c r="A7" s="39" t="s">
        <v>330</v>
      </c>
      <c r="B7" s="46" t="s">
        <v>547</v>
      </c>
      <c r="C7" s="47" t="n">
        <f aca="false">COUNTIFS('Policy x Control'!A:A,A7,'Policy x Control'!B:B,B7)</f>
        <v>10</v>
      </c>
      <c r="D7" s="48" t="s">
        <v>545</v>
      </c>
    </row>
    <row r="8" customFormat="false" ht="22.35" hidden="false" customHeight="false" outlineLevel="0" collapsed="false">
      <c r="A8" s="38" t="s">
        <v>330</v>
      </c>
      <c r="B8" s="43" t="s">
        <v>485</v>
      </c>
      <c r="C8" s="44" t="n">
        <f aca="false">COUNTIFS('Policy x Control'!A:A,A8,'Policy x Control'!B:B,B8)</f>
        <v>8</v>
      </c>
      <c r="D8" s="45" t="s">
        <v>972</v>
      </c>
    </row>
    <row r="9" customFormat="false" ht="15" hidden="false" customHeight="false" outlineLevel="0" collapsed="false">
      <c r="A9" s="39" t="s">
        <v>330</v>
      </c>
      <c r="B9" s="46" t="s">
        <v>455</v>
      </c>
      <c r="C9" s="47" t="n">
        <f aca="false">COUNTIFS('Policy x Control'!A:A,A9,'Policy x Control'!B:B,B9)</f>
        <v>8</v>
      </c>
      <c r="D9" s="48" t="s">
        <v>973</v>
      </c>
    </row>
    <row r="10" customFormat="false" ht="15" hidden="false" customHeight="false" outlineLevel="0" collapsed="false">
      <c r="A10" s="38" t="s">
        <v>330</v>
      </c>
      <c r="B10" s="43" t="s">
        <v>594</v>
      </c>
      <c r="C10" s="44" t="n">
        <f aca="false">COUNTIFS('Policy x Control'!A:A,A10,'Policy x Control'!B:B,B10)</f>
        <v>7</v>
      </c>
      <c r="D10" s="45" t="s">
        <v>974</v>
      </c>
    </row>
    <row r="11" customFormat="false" ht="15" hidden="false" customHeight="false" outlineLevel="0" collapsed="false">
      <c r="A11" s="39" t="s">
        <v>330</v>
      </c>
      <c r="B11" s="46" t="s">
        <v>975</v>
      </c>
      <c r="C11" s="47" t="n">
        <f aca="false">COUNTIFS('Policy x Control'!A:A,A11,'Policy x Control'!B:B,B11)</f>
        <v>5</v>
      </c>
      <c r="D11" s="48" t="s">
        <v>976</v>
      </c>
    </row>
    <row r="12" customFormat="false" ht="15" hidden="false" customHeight="false" outlineLevel="0" collapsed="false">
      <c r="A12" s="38" t="s">
        <v>330</v>
      </c>
      <c r="B12" s="43" t="s">
        <v>977</v>
      </c>
      <c r="C12" s="44" t="n">
        <f aca="false">COUNTIFS('Policy x Control'!A:A,A12,'Policy x Control'!B:B,B12)</f>
        <v>4</v>
      </c>
      <c r="D12" s="45" t="s">
        <v>978</v>
      </c>
    </row>
    <row r="13" customFormat="false" ht="15" hidden="false" customHeight="false" outlineLevel="0" collapsed="false">
      <c r="A13" s="39" t="s">
        <v>330</v>
      </c>
      <c r="B13" s="46" t="s">
        <v>865</v>
      </c>
      <c r="C13" s="47" t="n">
        <f aca="false">COUNTIFS('Policy x Control'!A:A,A13,'Policy x Control'!B:B,B13)</f>
        <v>2</v>
      </c>
      <c r="D13" s="48" t="s">
        <v>863</v>
      </c>
    </row>
    <row r="14" customFormat="false" ht="15" hidden="false" customHeight="false" outlineLevel="0" collapsed="false">
      <c r="A14" s="38" t="s">
        <v>330</v>
      </c>
      <c r="B14" s="43" t="s">
        <v>979</v>
      </c>
      <c r="C14" s="44" t="n">
        <f aca="false">COUNTIFS('Policy x Control'!A:A,A14,'Policy x Control'!B:B,B14)</f>
        <v>2</v>
      </c>
      <c r="D14" s="45" t="s">
        <v>581</v>
      </c>
    </row>
    <row r="15" customFormat="false" ht="15" hidden="false" customHeight="false" outlineLevel="0" collapsed="false">
      <c r="A15" s="39" t="s">
        <v>330</v>
      </c>
      <c r="B15" s="46" t="s">
        <v>980</v>
      </c>
      <c r="C15" s="47" t="n">
        <f aca="false">COUNTIFS('Policy x Control'!A:A,A15,'Policy x Control'!B:B,B15)</f>
        <v>1</v>
      </c>
      <c r="D15" s="48" t="s">
        <v>581</v>
      </c>
    </row>
    <row r="16" customFormat="false" ht="15" hidden="false" customHeight="false" outlineLevel="0" collapsed="false">
      <c r="A16" s="38" t="s">
        <v>330</v>
      </c>
      <c r="B16" s="43" t="s">
        <v>981</v>
      </c>
      <c r="C16" s="44" t="n">
        <f aca="false">COUNTIFS('Policy x Control'!A:A,A16,'Policy x Control'!B:B,B16)</f>
        <v>1</v>
      </c>
      <c r="D16" s="45" t="s">
        <v>581</v>
      </c>
    </row>
    <row r="17" customFormat="false" ht="15" hidden="false" customHeight="false" outlineLevel="0" collapsed="false">
      <c r="A17" s="39" t="s">
        <v>330</v>
      </c>
      <c r="B17" s="46" t="s">
        <v>982</v>
      </c>
      <c r="C17" s="47" t="n">
        <f aca="false">COUNTIFS('Policy x Control'!A:A,A17,'Policy x Control'!B:B,B17)</f>
        <v>1</v>
      </c>
      <c r="D17" s="48" t="s">
        <v>392</v>
      </c>
    </row>
    <row r="18" customFormat="false" ht="22.35" hidden="false" customHeight="false" outlineLevel="0" collapsed="false">
      <c r="A18" s="38" t="s">
        <v>329</v>
      </c>
      <c r="B18" s="43" t="s">
        <v>341</v>
      </c>
      <c r="C18" s="44" t="n">
        <f aca="false">COUNTIFS('Policy x Control'!A:A,A18,'Policy x Control'!B:B,B18)</f>
        <v>53</v>
      </c>
      <c r="D18" s="45" t="s">
        <v>983</v>
      </c>
    </row>
    <row r="19" customFormat="false" ht="43.25" hidden="false" customHeight="false" outlineLevel="0" collapsed="false">
      <c r="A19" s="39" t="s">
        <v>329</v>
      </c>
      <c r="B19" s="46" t="s">
        <v>627</v>
      </c>
      <c r="C19" s="47" t="n">
        <f aca="false">COUNTIFS('Policy x Control'!A:A,A19,'Policy x Control'!B:B,B19)</f>
        <v>39</v>
      </c>
      <c r="D19" s="48" t="s">
        <v>968</v>
      </c>
    </row>
    <row r="20" customFormat="false" ht="15" hidden="false" customHeight="false" outlineLevel="0" collapsed="false">
      <c r="A20" s="38" t="s">
        <v>329</v>
      </c>
      <c r="B20" s="43" t="s">
        <v>784</v>
      </c>
      <c r="C20" s="44" t="n">
        <f aca="false">COUNTIFS('Policy x Control'!A:A,A20,'Policy x Control'!B:B,B20)</f>
        <v>20</v>
      </c>
      <c r="D20" s="45" t="s">
        <v>984</v>
      </c>
    </row>
    <row r="21" customFormat="false" ht="22.35" hidden="false" customHeight="false" outlineLevel="0" collapsed="false">
      <c r="A21" s="39" t="s">
        <v>329</v>
      </c>
      <c r="B21" s="46" t="s">
        <v>505</v>
      </c>
      <c r="C21" s="47" t="n">
        <f aca="false">COUNTIFS('Policy x Control'!A:A,A21,'Policy x Control'!B:B,B21)</f>
        <v>19</v>
      </c>
      <c r="D21" s="48" t="s">
        <v>985</v>
      </c>
    </row>
    <row r="22" customFormat="false" ht="15" hidden="false" customHeight="false" outlineLevel="0" collapsed="false">
      <c r="A22" s="38" t="s">
        <v>329</v>
      </c>
      <c r="B22" s="43" t="s">
        <v>673</v>
      </c>
      <c r="C22" s="44" t="n">
        <f aca="false">COUNTIFS('Policy x Control'!A:A,A22,'Policy x Control'!B:B,B22)</f>
        <v>18</v>
      </c>
      <c r="D22" s="45" t="s">
        <v>986</v>
      </c>
    </row>
    <row r="23" customFormat="false" ht="15" hidden="false" customHeight="false" outlineLevel="0" collapsed="false">
      <c r="A23" s="39" t="s">
        <v>329</v>
      </c>
      <c r="B23" s="46" t="s">
        <v>617</v>
      </c>
      <c r="C23" s="47" t="n">
        <f aca="false">COUNTIFS('Policy x Control'!A:A,A23,'Policy x Control'!B:B,B23)</f>
        <v>17</v>
      </c>
      <c r="D23" s="48" t="s">
        <v>971</v>
      </c>
    </row>
    <row r="24" customFormat="false" ht="22.35" hidden="false" customHeight="false" outlineLevel="0" collapsed="false">
      <c r="A24" s="38" t="s">
        <v>329</v>
      </c>
      <c r="B24" s="43" t="s">
        <v>464</v>
      </c>
      <c r="C24" s="44" t="n">
        <f aca="false">COUNTIFS('Policy x Control'!A:A,A24,'Policy x Control'!B:B,B24)</f>
        <v>13</v>
      </c>
      <c r="D24" s="45" t="s">
        <v>987</v>
      </c>
    </row>
    <row r="25" customFormat="false" ht="22.35" hidden="false" customHeight="false" outlineLevel="0" collapsed="false">
      <c r="A25" s="39" t="s">
        <v>329</v>
      </c>
      <c r="B25" s="46" t="s">
        <v>830</v>
      </c>
      <c r="C25" s="47" t="n">
        <f aca="false">COUNTIFS('Policy x Control'!A:A,A25,'Policy x Control'!B:B,B25)</f>
        <v>10</v>
      </c>
      <c r="D25" s="48" t="s">
        <v>988</v>
      </c>
    </row>
    <row r="26" customFormat="false" ht="15" hidden="false" customHeight="false" outlineLevel="0" collapsed="false">
      <c r="A26" s="38" t="s">
        <v>329</v>
      </c>
      <c r="B26" s="43" t="s">
        <v>989</v>
      </c>
      <c r="C26" s="44" t="n">
        <f aca="false">COUNTIFS('Policy x Control'!A:A,A26,'Policy x Control'!B:B,B26)</f>
        <v>9</v>
      </c>
      <c r="D26" s="45" t="s">
        <v>545</v>
      </c>
    </row>
    <row r="27" customFormat="false" ht="15" hidden="false" customHeight="false" outlineLevel="0" collapsed="false">
      <c r="A27" s="39" t="s">
        <v>329</v>
      </c>
      <c r="B27" s="46" t="s">
        <v>990</v>
      </c>
      <c r="C27" s="47" t="n">
        <f aca="false">COUNTIFS('Policy x Control'!A:A,A27,'Policy x Control'!B:B,B27)</f>
        <v>8</v>
      </c>
      <c r="D27" s="48" t="s">
        <v>545</v>
      </c>
    </row>
    <row r="28" customFormat="false" ht="15" hidden="false" customHeight="false" outlineLevel="0" collapsed="false">
      <c r="A28" s="38" t="s">
        <v>329</v>
      </c>
      <c r="B28" s="43" t="s">
        <v>454</v>
      </c>
      <c r="C28" s="44" t="n">
        <f aca="false">COUNTIFS('Policy x Control'!A:A,A28,'Policy x Control'!B:B,B28)</f>
        <v>7</v>
      </c>
      <c r="D28" s="45" t="s">
        <v>973</v>
      </c>
    </row>
    <row r="29" customFormat="false" ht="15" hidden="false" customHeight="false" outlineLevel="0" collapsed="false">
      <c r="A29" s="39" t="s">
        <v>329</v>
      </c>
      <c r="B29" s="46" t="s">
        <v>655</v>
      </c>
      <c r="C29" s="47" t="n">
        <f aca="false">COUNTIFS('Policy x Control'!A:A,A29,'Policy x Control'!B:B,B29)</f>
        <v>7</v>
      </c>
      <c r="D29" s="48" t="s">
        <v>991</v>
      </c>
    </row>
    <row r="30" customFormat="false" ht="15" hidden="false" customHeight="false" outlineLevel="0" collapsed="false">
      <c r="A30" s="38" t="s">
        <v>329</v>
      </c>
      <c r="B30" s="43" t="s">
        <v>496</v>
      </c>
      <c r="C30" s="44" t="n">
        <f aca="false">COUNTIFS('Policy x Control'!A:A,A30,'Policy x Control'!B:B,B30)</f>
        <v>6</v>
      </c>
      <c r="D30" s="45" t="s">
        <v>992</v>
      </c>
    </row>
    <row r="31" customFormat="false" ht="15" hidden="false" customHeight="false" outlineLevel="0" collapsed="false">
      <c r="A31" s="39" t="s">
        <v>329</v>
      </c>
      <c r="B31" s="46" t="s">
        <v>459</v>
      </c>
      <c r="C31" s="47" t="n">
        <f aca="false">COUNTIFS('Policy x Control'!A:A,A31,'Policy x Control'!B:B,B31)</f>
        <v>6</v>
      </c>
      <c r="D31" s="48" t="s">
        <v>976</v>
      </c>
    </row>
    <row r="32" customFormat="false" ht="15" hidden="false" customHeight="false" outlineLevel="0" collapsed="false">
      <c r="A32" s="38" t="s">
        <v>329</v>
      </c>
      <c r="B32" s="43" t="s">
        <v>847</v>
      </c>
      <c r="C32" s="44" t="n">
        <f aca="false">COUNTIFS('Policy x Control'!A:A,A32,'Policy x Control'!B:B,B32)</f>
        <v>6</v>
      </c>
      <c r="D32" s="45" t="s">
        <v>993</v>
      </c>
    </row>
    <row r="33" customFormat="false" ht="15" hidden="false" customHeight="false" outlineLevel="0" collapsed="false">
      <c r="A33" s="39" t="s">
        <v>329</v>
      </c>
      <c r="B33" s="46" t="s">
        <v>601</v>
      </c>
      <c r="C33" s="47" t="n">
        <f aca="false">COUNTIFS('Policy x Control'!A:A,A33,'Policy x Control'!B:B,B33)</f>
        <v>6</v>
      </c>
      <c r="D33" s="48" t="s">
        <v>994</v>
      </c>
    </row>
    <row r="34" customFormat="false" ht="15" hidden="false" customHeight="false" outlineLevel="0" collapsed="false">
      <c r="A34" s="38" t="s">
        <v>329</v>
      </c>
      <c r="B34" s="43" t="s">
        <v>995</v>
      </c>
      <c r="C34" s="44" t="n">
        <f aca="false">COUNTIFS('Policy x Control'!A:A,A34,'Policy x Control'!B:B,B34)</f>
        <v>5</v>
      </c>
      <c r="D34" s="45" t="s">
        <v>474</v>
      </c>
    </row>
    <row r="35" customFormat="false" ht="15" hidden="false" customHeight="false" outlineLevel="0" collapsed="false">
      <c r="A35" s="39" t="s">
        <v>329</v>
      </c>
      <c r="B35" s="46" t="s">
        <v>676</v>
      </c>
      <c r="C35" s="47" t="n">
        <f aca="false">COUNTIFS('Policy x Control'!A:A,A35,'Policy x Control'!B:B,B35)</f>
        <v>5</v>
      </c>
      <c r="D35" s="48" t="s">
        <v>996</v>
      </c>
    </row>
    <row r="36" customFormat="false" ht="15" hidden="false" customHeight="false" outlineLevel="0" collapsed="false">
      <c r="A36" s="38" t="s">
        <v>329</v>
      </c>
      <c r="B36" s="43" t="s">
        <v>997</v>
      </c>
      <c r="C36" s="44" t="n">
        <f aca="false">COUNTIFS('Policy x Control'!A:A,A36,'Policy x Control'!B:B,B36)</f>
        <v>4</v>
      </c>
      <c r="D36" s="45" t="s">
        <v>998</v>
      </c>
    </row>
    <row r="37" customFormat="false" ht="15" hidden="false" customHeight="false" outlineLevel="0" collapsed="false">
      <c r="A37" s="39" t="s">
        <v>329</v>
      </c>
      <c r="B37" s="46" t="s">
        <v>999</v>
      </c>
      <c r="C37" s="47" t="n">
        <f aca="false">COUNTIFS('Policy x Control'!A:A,A37,'Policy x Control'!B:B,B37)</f>
        <v>4</v>
      </c>
      <c r="D37" s="48" t="s">
        <v>1000</v>
      </c>
    </row>
    <row r="38" customFormat="false" ht="15" hidden="false" customHeight="false" outlineLevel="0" collapsed="false">
      <c r="A38" s="38" t="s">
        <v>329</v>
      </c>
      <c r="B38" s="43" t="s">
        <v>723</v>
      </c>
      <c r="C38" s="44" t="n">
        <f aca="false">COUNTIFS('Policy x Control'!A:A,A38,'Policy x Control'!B:B,B38)</f>
        <v>3</v>
      </c>
      <c r="D38" s="45" t="s">
        <v>1001</v>
      </c>
    </row>
    <row r="39" customFormat="false" ht="15" hidden="false" customHeight="false" outlineLevel="0" collapsed="false">
      <c r="A39" s="39" t="s">
        <v>329</v>
      </c>
      <c r="B39" s="46" t="s">
        <v>1002</v>
      </c>
      <c r="C39" s="47" t="n">
        <f aca="false">COUNTIFS('Policy x Control'!A:A,A39,'Policy x Control'!B:B,B39)</f>
        <v>3</v>
      </c>
      <c r="D39" s="48" t="s">
        <v>378</v>
      </c>
    </row>
    <row r="40" customFormat="false" ht="15" hidden="false" customHeight="false" outlineLevel="0" collapsed="false">
      <c r="A40" s="38" t="s">
        <v>329</v>
      </c>
      <c r="B40" s="43" t="s">
        <v>576</v>
      </c>
      <c r="C40" s="44" t="n">
        <f aca="false">COUNTIFS('Policy x Control'!A:A,A40,'Policy x Control'!B:B,B40)</f>
        <v>3</v>
      </c>
      <c r="D40" s="45" t="s">
        <v>1003</v>
      </c>
    </row>
    <row r="41" customFormat="false" ht="15" hidden="false" customHeight="false" outlineLevel="0" collapsed="false">
      <c r="A41" s="39" t="s">
        <v>329</v>
      </c>
      <c r="B41" s="46" t="s">
        <v>1004</v>
      </c>
      <c r="C41" s="47" t="n">
        <f aca="false">COUNTIFS('Policy x Control'!A:A,A41,'Policy x Control'!B:B,B41)</f>
        <v>3</v>
      </c>
      <c r="D41" s="48" t="s">
        <v>1005</v>
      </c>
    </row>
    <row r="42" customFormat="false" ht="15" hidden="false" customHeight="false" outlineLevel="0" collapsed="false">
      <c r="A42" s="38" t="s">
        <v>329</v>
      </c>
      <c r="B42" s="43" t="s">
        <v>870</v>
      </c>
      <c r="C42" s="44" t="n">
        <f aca="false">COUNTIFS('Policy x Control'!A:A,A42,'Policy x Control'!B:B,B42)</f>
        <v>2</v>
      </c>
      <c r="D42" s="45" t="s">
        <v>863</v>
      </c>
    </row>
    <row r="43" customFormat="false" ht="15" hidden="false" customHeight="false" outlineLevel="0" collapsed="false">
      <c r="A43" s="39" t="s">
        <v>329</v>
      </c>
      <c r="B43" s="46" t="s">
        <v>1006</v>
      </c>
      <c r="C43" s="47" t="n">
        <f aca="false">COUNTIFS('Policy x Control'!A:A,A43,'Policy x Control'!B:B,B43)</f>
        <v>2</v>
      </c>
      <c r="D43" s="48" t="s">
        <v>581</v>
      </c>
    </row>
    <row r="44" customFormat="false" ht="15" hidden="false" customHeight="false" outlineLevel="0" collapsed="false">
      <c r="A44" s="38" t="s">
        <v>329</v>
      </c>
      <c r="B44" s="43" t="s">
        <v>1007</v>
      </c>
      <c r="C44" s="44" t="n">
        <f aca="false">COUNTIFS('Policy x Control'!A:A,A44,'Policy x Control'!B:B,B44)</f>
        <v>1</v>
      </c>
      <c r="D44" s="45" t="s">
        <v>447</v>
      </c>
    </row>
    <row r="45" customFormat="false" ht="15" hidden="false" customHeight="false" outlineLevel="0" collapsed="false">
      <c r="A45" s="39" t="s">
        <v>329</v>
      </c>
      <c r="B45" s="46" t="s">
        <v>564</v>
      </c>
      <c r="C45" s="47" t="n">
        <f aca="false">COUNTIFS('Policy x Control'!A:A,A45,'Policy x Control'!B:B,B45)</f>
        <v>1</v>
      </c>
      <c r="D45" s="48" t="s">
        <v>545</v>
      </c>
    </row>
    <row r="46" customFormat="false" ht="15" hidden="false" customHeight="false" outlineLevel="0" collapsed="false">
      <c r="A46" s="38" t="s">
        <v>329</v>
      </c>
      <c r="B46" s="43" t="s">
        <v>1008</v>
      </c>
      <c r="C46" s="44" t="n">
        <f aca="false">COUNTIFS('Policy x Control'!A:A,A46,'Policy x Control'!B:B,B46)</f>
        <v>1</v>
      </c>
      <c r="D46" s="45" t="s">
        <v>545</v>
      </c>
    </row>
    <row r="47" customFormat="false" ht="15" hidden="false" customHeight="false" outlineLevel="0" collapsed="false">
      <c r="A47" s="39" t="s">
        <v>329</v>
      </c>
      <c r="B47" s="46" t="s">
        <v>1009</v>
      </c>
      <c r="C47" s="47" t="n">
        <f aca="false">COUNTIFS('Policy x Control'!A:A,A47,'Policy x Control'!B:B,B47)</f>
        <v>1</v>
      </c>
      <c r="D47" s="48" t="s">
        <v>863</v>
      </c>
    </row>
    <row r="48" customFormat="false" ht="15" hidden="false" customHeight="false" outlineLevel="0" collapsed="false">
      <c r="A48" s="38" t="s">
        <v>329</v>
      </c>
      <c r="B48" s="43" t="s">
        <v>1010</v>
      </c>
      <c r="C48" s="44" t="n">
        <f aca="false">COUNTIFS('Policy x Control'!A:A,A48,'Policy x Control'!B:B,B48)</f>
        <v>1</v>
      </c>
      <c r="D48" s="45" t="s">
        <v>488</v>
      </c>
    </row>
  </sheetData>
  <autoFilter ref="A1:D48"/>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&amp;LControl Coverage&amp;R&amp;P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50"/>
    <col collapsed="false" customWidth="true" hidden="false" outlineLevel="0" max="4" min="4" style="0" width="30"/>
    <col collapsed="false" customWidth="true" hidden="false" outlineLevel="0" max="5" min="5" style="0" width="28"/>
    <col collapsed="false" customWidth="true" hidden="false" outlineLevel="0" max="6" min="6" style="0" width="9"/>
    <col collapsed="false" customWidth="true" hidden="false" outlineLevel="0" max="7" min="7" style="0" width="14"/>
    <col collapsed="false" customWidth="true" hidden="false" outlineLevel="0" max="8" min="8" style="0" width="22"/>
  </cols>
  <sheetData>
    <row r="1" customFormat="false" ht="30" hidden="false" customHeight="true" outlineLevel="0" collapsed="false">
      <c r="A1" s="7" t="s">
        <v>963</v>
      </c>
      <c r="B1" s="7" t="s">
        <v>964</v>
      </c>
      <c r="C1" s="7" t="s">
        <v>319</v>
      </c>
      <c r="D1" s="7" t="s">
        <v>320</v>
      </c>
      <c r="E1" s="7" t="s">
        <v>328</v>
      </c>
      <c r="F1" s="7" t="s">
        <v>326</v>
      </c>
      <c r="G1" s="7" t="s">
        <v>325</v>
      </c>
      <c r="H1" s="7" t="s">
        <v>332</v>
      </c>
    </row>
    <row r="2" customFormat="false" ht="12.75" hidden="false" customHeight="true" outlineLevel="0" collapsed="false">
      <c r="A2" s="41" t="s">
        <v>330</v>
      </c>
      <c r="B2" s="49" t="s">
        <v>1011</v>
      </c>
      <c r="C2" s="41" t="s">
        <v>125</v>
      </c>
      <c r="D2" s="41" t="s">
        <v>608</v>
      </c>
      <c r="E2" s="41"/>
      <c r="F2" s="41"/>
      <c r="G2" s="41"/>
      <c r="H2" s="41" t="s">
        <v>372</v>
      </c>
    </row>
    <row r="3" customFormat="false" ht="12.75" hidden="false" customHeight="true" outlineLevel="0" collapsed="false">
      <c r="A3" s="41" t="s">
        <v>330</v>
      </c>
      <c r="B3" s="49" t="s">
        <v>1011</v>
      </c>
      <c r="C3" s="41" t="s">
        <v>596</v>
      </c>
      <c r="D3" s="41" t="s">
        <v>591</v>
      </c>
      <c r="E3" s="41"/>
      <c r="F3" s="41"/>
      <c r="G3" s="41"/>
      <c r="H3" s="41" t="s">
        <v>372</v>
      </c>
    </row>
    <row r="4" customFormat="false" ht="12.75" hidden="false" customHeight="true" outlineLevel="0" collapsed="false">
      <c r="A4" s="41" t="s">
        <v>330</v>
      </c>
      <c r="B4" s="49" t="s">
        <v>1011</v>
      </c>
      <c r="C4" s="41" t="s">
        <v>370</v>
      </c>
      <c r="D4" s="41" t="s">
        <v>335</v>
      </c>
      <c r="E4" s="41"/>
      <c r="F4" s="41"/>
      <c r="G4" s="41"/>
      <c r="H4" s="41" t="s">
        <v>372</v>
      </c>
    </row>
    <row r="5" customFormat="false" ht="12.75" hidden="false" customHeight="true" outlineLevel="0" collapsed="false">
      <c r="A5" s="41" t="s">
        <v>330</v>
      </c>
      <c r="B5" s="49" t="s">
        <v>1011</v>
      </c>
      <c r="C5" s="41" t="s">
        <v>385</v>
      </c>
      <c r="D5" s="41" t="s">
        <v>335</v>
      </c>
      <c r="E5" s="41"/>
      <c r="F5" s="41"/>
      <c r="G5" s="41"/>
      <c r="H5" s="41" t="s">
        <v>372</v>
      </c>
    </row>
    <row r="6" customFormat="false" ht="12.75" hidden="false" customHeight="true" outlineLevel="0" collapsed="false">
      <c r="A6" s="41" t="s">
        <v>330</v>
      </c>
      <c r="B6" s="49" t="s">
        <v>1011</v>
      </c>
      <c r="C6" s="41" t="s">
        <v>589</v>
      </c>
      <c r="D6" s="41" t="s">
        <v>579</v>
      </c>
      <c r="E6" s="41"/>
      <c r="F6" s="41"/>
      <c r="G6" s="41"/>
      <c r="H6" s="41" t="s">
        <v>372</v>
      </c>
    </row>
    <row r="7" customFormat="false" ht="12.75" hidden="false" customHeight="true" outlineLevel="0" collapsed="false">
      <c r="A7" s="41" t="s">
        <v>330</v>
      </c>
      <c r="B7" s="49" t="s">
        <v>1011</v>
      </c>
      <c r="C7" s="41" t="s">
        <v>840</v>
      </c>
      <c r="D7" s="41" t="s">
        <v>825</v>
      </c>
      <c r="E7" s="41"/>
      <c r="F7" s="41"/>
      <c r="G7" s="41"/>
      <c r="H7" s="41" t="s">
        <v>372</v>
      </c>
    </row>
    <row r="8" customFormat="false" ht="12.75" hidden="false" customHeight="true" outlineLevel="0" collapsed="false">
      <c r="A8" s="41" t="s">
        <v>330</v>
      </c>
      <c r="B8" s="49" t="s">
        <v>1011</v>
      </c>
      <c r="C8" s="41" t="s">
        <v>607</v>
      </c>
      <c r="D8" s="41" t="s">
        <v>604</v>
      </c>
      <c r="E8" s="41"/>
      <c r="F8" s="41"/>
      <c r="G8" s="41"/>
      <c r="H8" s="41" t="s">
        <v>372</v>
      </c>
    </row>
    <row r="9" customFormat="false" ht="12.75" hidden="false" customHeight="true" outlineLevel="0" collapsed="false">
      <c r="A9" s="41" t="s">
        <v>330</v>
      </c>
      <c r="B9" s="49" t="s">
        <v>1011</v>
      </c>
      <c r="C9" s="41" t="s">
        <v>645</v>
      </c>
      <c r="D9" s="41" t="s">
        <v>626</v>
      </c>
      <c r="E9" s="41"/>
      <c r="F9" s="41"/>
      <c r="G9" s="41"/>
      <c r="H9" s="41" t="s">
        <v>372</v>
      </c>
    </row>
    <row r="10" customFormat="false" ht="12.75" hidden="false" customHeight="true" outlineLevel="0" collapsed="false">
      <c r="A10" s="41" t="s">
        <v>330</v>
      </c>
      <c r="B10" s="49" t="s">
        <v>1011</v>
      </c>
      <c r="C10" s="41" t="s">
        <v>873</v>
      </c>
      <c r="D10" s="41" t="s">
        <v>860</v>
      </c>
      <c r="E10" s="41"/>
      <c r="F10" s="41"/>
      <c r="G10" s="41"/>
      <c r="H10" s="41" t="s">
        <v>372</v>
      </c>
    </row>
    <row r="11" customFormat="false" ht="12.75" hidden="false" customHeight="true" outlineLevel="0" collapsed="false">
      <c r="A11" s="41" t="s">
        <v>330</v>
      </c>
      <c r="B11" s="49" t="s">
        <v>1011</v>
      </c>
      <c r="C11" s="41" t="s">
        <v>652</v>
      </c>
      <c r="D11" s="41" t="s">
        <v>653</v>
      </c>
      <c r="E11" s="41"/>
      <c r="F11" s="41"/>
      <c r="G11" s="41"/>
      <c r="H11" s="41" t="s">
        <v>372</v>
      </c>
    </row>
    <row r="12" customFormat="false" ht="12.75" hidden="false" customHeight="true" outlineLevel="0" collapsed="false">
      <c r="A12" s="41" t="s">
        <v>330</v>
      </c>
      <c r="B12" s="49" t="s">
        <v>1011</v>
      </c>
      <c r="C12" s="41" t="s">
        <v>669</v>
      </c>
      <c r="D12" s="41" t="s">
        <v>653</v>
      </c>
      <c r="E12" s="41"/>
      <c r="F12" s="41"/>
      <c r="G12" s="41"/>
      <c r="H12" s="41" t="s">
        <v>372</v>
      </c>
    </row>
    <row r="13" customFormat="false" ht="12.75" hidden="false" customHeight="true" outlineLevel="0" collapsed="false">
      <c r="A13" s="41" t="s">
        <v>330</v>
      </c>
      <c r="B13" s="49" t="s">
        <v>1011</v>
      </c>
      <c r="C13" s="41" t="s">
        <v>727</v>
      </c>
      <c r="D13" s="41" t="s">
        <v>653</v>
      </c>
      <c r="E13" s="41"/>
      <c r="F13" s="41"/>
      <c r="G13" s="41"/>
      <c r="H13" s="41" t="s">
        <v>372</v>
      </c>
    </row>
    <row r="14" customFormat="false" ht="12.75" hidden="false" customHeight="true" outlineLevel="0" collapsed="false">
      <c r="A14" s="41" t="s">
        <v>330</v>
      </c>
      <c r="B14" s="49" t="s">
        <v>1011</v>
      </c>
      <c r="C14" s="41" t="s">
        <v>426</v>
      </c>
      <c r="D14" s="41" t="s">
        <v>335</v>
      </c>
      <c r="E14" s="41"/>
      <c r="F14" s="41"/>
      <c r="G14" s="41"/>
      <c r="H14" s="41" t="s">
        <v>372</v>
      </c>
    </row>
    <row r="15" customFormat="false" ht="12.75" hidden="false" customHeight="true" outlineLevel="0" collapsed="false">
      <c r="A15" s="41" t="s">
        <v>330</v>
      </c>
      <c r="B15" s="49" t="s">
        <v>1011</v>
      </c>
      <c r="C15" s="41" t="s">
        <v>428</v>
      </c>
      <c r="D15" s="41" t="s">
        <v>335</v>
      </c>
      <c r="E15" s="41"/>
      <c r="F15" s="41"/>
      <c r="G15" s="41"/>
      <c r="H15" s="41" t="s">
        <v>372</v>
      </c>
    </row>
    <row r="16" customFormat="false" ht="12.75" hidden="false" customHeight="true" outlineLevel="0" collapsed="false">
      <c r="A16" s="41" t="s">
        <v>330</v>
      </c>
      <c r="B16" s="49" t="s">
        <v>1011</v>
      </c>
      <c r="C16" s="41" t="s">
        <v>471</v>
      </c>
      <c r="D16" s="41" t="s">
        <v>446</v>
      </c>
      <c r="E16" s="41"/>
      <c r="F16" s="41"/>
      <c r="G16" s="41"/>
      <c r="H16" s="41" t="s">
        <v>372</v>
      </c>
    </row>
    <row r="17" customFormat="false" ht="12.75" hidden="false" customHeight="true" outlineLevel="0" collapsed="false">
      <c r="A17" s="41" t="s">
        <v>330</v>
      </c>
      <c r="B17" s="49" t="s">
        <v>1011</v>
      </c>
      <c r="C17" s="41" t="s">
        <v>472</v>
      </c>
      <c r="D17" s="41" t="s">
        <v>446</v>
      </c>
      <c r="E17" s="41"/>
      <c r="F17" s="41"/>
      <c r="G17" s="41"/>
      <c r="H17" s="41" t="s">
        <v>372</v>
      </c>
    </row>
    <row r="18" customFormat="false" ht="12.75" hidden="false" customHeight="true" outlineLevel="0" collapsed="false">
      <c r="A18" s="41" t="s">
        <v>330</v>
      </c>
      <c r="B18" s="49" t="s">
        <v>1011</v>
      </c>
      <c r="C18" s="41" t="s">
        <v>556</v>
      </c>
      <c r="D18" s="41" t="s">
        <v>544</v>
      </c>
      <c r="E18" s="41"/>
      <c r="F18" s="41"/>
      <c r="G18" s="41"/>
      <c r="H18" s="41" t="s">
        <v>372</v>
      </c>
    </row>
    <row r="19" customFormat="false" ht="12.75" hidden="false" customHeight="true" outlineLevel="0" collapsed="false">
      <c r="A19" s="41" t="s">
        <v>330</v>
      </c>
      <c r="B19" s="49" t="s">
        <v>1011</v>
      </c>
      <c r="C19" s="41" t="s">
        <v>115</v>
      </c>
      <c r="D19" s="41" t="s">
        <v>446</v>
      </c>
      <c r="E19" s="41"/>
      <c r="F19" s="41"/>
      <c r="G19" s="41"/>
      <c r="H19" s="41" t="s">
        <v>372</v>
      </c>
    </row>
    <row r="20" customFormat="false" ht="12.75" hidden="false" customHeight="true" outlineLevel="0" collapsed="false">
      <c r="A20" s="41" t="s">
        <v>330</v>
      </c>
      <c r="B20" s="49" t="s">
        <v>1011</v>
      </c>
      <c r="C20" s="41" t="s">
        <v>501</v>
      </c>
      <c r="D20" s="41" t="s">
        <v>446</v>
      </c>
      <c r="E20" s="41"/>
      <c r="F20" s="41"/>
      <c r="G20" s="41"/>
      <c r="H20" s="41" t="s">
        <v>372</v>
      </c>
    </row>
    <row r="21" customFormat="false" ht="12.75" hidden="false" customHeight="true" outlineLevel="0" collapsed="false">
      <c r="A21" s="41" t="s">
        <v>330</v>
      </c>
      <c r="B21" s="49" t="s">
        <v>1011</v>
      </c>
      <c r="C21" s="41" t="s">
        <v>621</v>
      </c>
      <c r="D21" s="41" t="s">
        <v>616</v>
      </c>
      <c r="E21" s="41"/>
      <c r="F21" s="41"/>
      <c r="G21" s="41"/>
      <c r="H21" s="41" t="s">
        <v>372</v>
      </c>
    </row>
    <row r="22" customFormat="false" ht="12.75" hidden="false" customHeight="true" outlineLevel="0" collapsed="false">
      <c r="A22" s="41" t="s">
        <v>330</v>
      </c>
      <c r="B22" s="49" t="s">
        <v>1011</v>
      </c>
      <c r="C22" s="41" t="s">
        <v>508</v>
      </c>
      <c r="D22" s="41" t="s">
        <v>446</v>
      </c>
      <c r="E22" s="41"/>
      <c r="F22" s="41"/>
      <c r="G22" s="41"/>
      <c r="H22" s="41" t="s">
        <v>372</v>
      </c>
    </row>
    <row r="23" customFormat="false" ht="12.75" hidden="false" customHeight="true" outlineLevel="0" collapsed="false">
      <c r="A23" s="41" t="s">
        <v>330</v>
      </c>
      <c r="B23" s="49" t="s">
        <v>1011</v>
      </c>
      <c r="C23" s="41" t="s">
        <v>624</v>
      </c>
      <c r="D23" s="41" t="s">
        <v>616</v>
      </c>
      <c r="E23" s="41"/>
      <c r="F23" s="41"/>
      <c r="G23" s="41"/>
      <c r="H23" s="41" t="s">
        <v>372</v>
      </c>
    </row>
    <row r="24" customFormat="false" ht="12.75" hidden="false" customHeight="true" outlineLevel="0" collapsed="false">
      <c r="A24" s="41" t="s">
        <v>330</v>
      </c>
      <c r="B24" s="49" t="s">
        <v>1011</v>
      </c>
      <c r="C24" s="41" t="s">
        <v>614</v>
      </c>
      <c r="D24" s="41" t="s">
        <v>608</v>
      </c>
      <c r="E24" s="41"/>
      <c r="F24" s="41"/>
      <c r="G24" s="41"/>
      <c r="H24" s="41" t="s">
        <v>372</v>
      </c>
    </row>
    <row r="25" customFormat="false" ht="12.75" hidden="false" customHeight="true" outlineLevel="0" collapsed="false">
      <c r="A25" s="41" t="s">
        <v>330</v>
      </c>
      <c r="B25" s="49" t="s">
        <v>1011</v>
      </c>
      <c r="C25" s="41" t="s">
        <v>880</v>
      </c>
      <c r="D25" s="41" t="s">
        <v>875</v>
      </c>
      <c r="E25" s="41"/>
      <c r="F25" s="41"/>
      <c r="G25" s="41"/>
      <c r="H25" s="41" t="s">
        <v>372</v>
      </c>
    </row>
    <row r="26" customFormat="false" ht="12.75" hidden="false" customHeight="true" outlineLevel="0" collapsed="false">
      <c r="A26" s="41" t="s">
        <v>330</v>
      </c>
      <c r="B26" s="49" t="s">
        <v>1012</v>
      </c>
      <c r="C26" s="41" t="s">
        <v>683</v>
      </c>
      <c r="D26" s="41" t="s">
        <v>653</v>
      </c>
      <c r="E26" s="41" t="s">
        <v>648</v>
      </c>
      <c r="F26" s="41" t="s">
        <v>338</v>
      </c>
      <c r="G26" s="41" t="s">
        <v>383</v>
      </c>
      <c r="H26" s="41" t="s">
        <v>344</v>
      </c>
    </row>
    <row r="27" customFormat="false" ht="12.75" hidden="false" customHeight="true" outlineLevel="0" collapsed="false">
      <c r="A27" s="41" t="s">
        <v>330</v>
      </c>
      <c r="B27" s="49" t="s">
        <v>1012</v>
      </c>
      <c r="C27" s="41" t="s">
        <v>686</v>
      </c>
      <c r="D27" s="41" t="s">
        <v>653</v>
      </c>
      <c r="E27" s="41" t="s">
        <v>648</v>
      </c>
      <c r="F27" s="41" t="s">
        <v>338</v>
      </c>
      <c r="G27" s="41" t="s">
        <v>383</v>
      </c>
      <c r="H27" s="41" t="s">
        <v>344</v>
      </c>
    </row>
    <row r="28" customFormat="false" ht="12.75" hidden="false" customHeight="true" outlineLevel="0" collapsed="false">
      <c r="A28" s="41" t="s">
        <v>330</v>
      </c>
      <c r="B28" s="49" t="s">
        <v>1012</v>
      </c>
      <c r="C28" s="41" t="s">
        <v>688</v>
      </c>
      <c r="D28" s="41" t="s">
        <v>653</v>
      </c>
      <c r="E28" s="41" t="s">
        <v>648</v>
      </c>
      <c r="F28" s="41" t="s">
        <v>338</v>
      </c>
      <c r="G28" s="41" t="s">
        <v>383</v>
      </c>
      <c r="H28" s="41" t="s">
        <v>344</v>
      </c>
    </row>
    <row r="29" customFormat="false" ht="12.75" hidden="false" customHeight="true" outlineLevel="0" collapsed="false">
      <c r="A29" s="41" t="s">
        <v>330</v>
      </c>
      <c r="B29" s="49" t="s">
        <v>1012</v>
      </c>
      <c r="C29" s="41" t="s">
        <v>694</v>
      </c>
      <c r="D29" s="41" t="s">
        <v>653</v>
      </c>
      <c r="E29" s="41" t="s">
        <v>648</v>
      </c>
      <c r="F29" s="41" t="s">
        <v>338</v>
      </c>
      <c r="G29" s="41" t="s">
        <v>383</v>
      </c>
      <c r="H29" s="41" t="s">
        <v>344</v>
      </c>
    </row>
    <row r="30" customFormat="false" ht="12.75" hidden="false" customHeight="true" outlineLevel="0" collapsed="false">
      <c r="A30" s="41" t="s">
        <v>330</v>
      </c>
      <c r="B30" s="49" t="s">
        <v>1012</v>
      </c>
      <c r="C30" s="41" t="s">
        <v>698</v>
      </c>
      <c r="D30" s="41" t="s">
        <v>653</v>
      </c>
      <c r="E30" s="41" t="s">
        <v>648</v>
      </c>
      <c r="F30" s="41" t="s">
        <v>348</v>
      </c>
      <c r="G30" s="41" t="s">
        <v>383</v>
      </c>
      <c r="H30" s="41" t="s">
        <v>344</v>
      </c>
    </row>
    <row r="31" customFormat="false" ht="12.75" hidden="false" customHeight="true" outlineLevel="0" collapsed="false">
      <c r="A31" s="41" t="s">
        <v>330</v>
      </c>
      <c r="B31" s="49" t="s">
        <v>1012</v>
      </c>
      <c r="C31" s="41" t="s">
        <v>732</v>
      </c>
      <c r="D31" s="41" t="s">
        <v>653</v>
      </c>
      <c r="E31" s="41" t="s">
        <v>483</v>
      </c>
      <c r="F31" s="41" t="s">
        <v>338</v>
      </c>
      <c r="G31" s="41" t="s">
        <v>383</v>
      </c>
      <c r="H31" s="41" t="s">
        <v>344</v>
      </c>
    </row>
    <row r="32" customFormat="false" ht="12.75" hidden="false" customHeight="true" outlineLevel="0" collapsed="false">
      <c r="A32" s="41" t="s">
        <v>330</v>
      </c>
      <c r="B32" s="49" t="s">
        <v>1012</v>
      </c>
      <c r="C32" s="41" t="s">
        <v>742</v>
      </c>
      <c r="D32" s="41" t="s">
        <v>653</v>
      </c>
      <c r="E32" s="41" t="s">
        <v>648</v>
      </c>
      <c r="F32" s="41" t="s">
        <v>338</v>
      </c>
      <c r="G32" s="41" t="s">
        <v>383</v>
      </c>
      <c r="H32" s="41" t="s">
        <v>344</v>
      </c>
    </row>
    <row r="33" customFormat="false" ht="12.75" hidden="false" customHeight="true" outlineLevel="0" collapsed="false">
      <c r="A33" s="41" t="s">
        <v>330</v>
      </c>
      <c r="B33" s="49" t="s">
        <v>1012</v>
      </c>
      <c r="C33" s="41" t="s">
        <v>748</v>
      </c>
      <c r="D33" s="41" t="s">
        <v>653</v>
      </c>
      <c r="E33" s="41" t="s">
        <v>648</v>
      </c>
      <c r="F33" s="41" t="s">
        <v>338</v>
      </c>
      <c r="G33" s="41" t="s">
        <v>383</v>
      </c>
      <c r="H33" s="41" t="s">
        <v>344</v>
      </c>
    </row>
    <row r="34" customFormat="false" ht="12.75" hidden="false" customHeight="true" outlineLevel="0" collapsed="false">
      <c r="A34" s="41" t="s">
        <v>330</v>
      </c>
      <c r="B34" s="49" t="s">
        <v>1012</v>
      </c>
      <c r="C34" s="41" t="s">
        <v>49</v>
      </c>
      <c r="D34" s="41" t="s">
        <v>653</v>
      </c>
      <c r="E34" s="41" t="s">
        <v>648</v>
      </c>
      <c r="F34" s="41" t="s">
        <v>348</v>
      </c>
      <c r="G34" s="41" t="s">
        <v>383</v>
      </c>
      <c r="H34" s="41" t="s">
        <v>344</v>
      </c>
    </row>
    <row r="35" customFormat="false" ht="12.75" hidden="false" customHeight="true" outlineLevel="0" collapsed="false">
      <c r="A35" s="41" t="s">
        <v>330</v>
      </c>
      <c r="B35" s="49" t="s">
        <v>1012</v>
      </c>
      <c r="C35" s="41" t="s">
        <v>778</v>
      </c>
      <c r="D35" s="41" t="s">
        <v>653</v>
      </c>
      <c r="E35" s="41" t="s">
        <v>631</v>
      </c>
      <c r="F35" s="41" t="s">
        <v>348</v>
      </c>
      <c r="G35" s="41" t="s">
        <v>383</v>
      </c>
      <c r="H35" s="41" t="s">
        <v>344</v>
      </c>
    </row>
    <row r="36" customFormat="false" ht="12.75" hidden="false" customHeight="true" outlineLevel="0" collapsed="false">
      <c r="A36" s="41" t="s">
        <v>330</v>
      </c>
      <c r="B36" s="49" t="s">
        <v>1012</v>
      </c>
      <c r="C36" s="41" t="s">
        <v>798</v>
      </c>
      <c r="D36" s="41" t="s">
        <v>653</v>
      </c>
      <c r="E36" s="41" t="s">
        <v>648</v>
      </c>
      <c r="F36" s="41" t="s">
        <v>348</v>
      </c>
      <c r="G36" s="41" t="s">
        <v>383</v>
      </c>
      <c r="H36" s="41" t="s">
        <v>344</v>
      </c>
    </row>
    <row r="37" customFormat="false" ht="12.75" hidden="false" customHeight="true" outlineLevel="0" collapsed="false">
      <c r="A37" s="41" t="s">
        <v>330</v>
      </c>
      <c r="B37" s="49" t="s">
        <v>1012</v>
      </c>
      <c r="C37" s="41" t="s">
        <v>800</v>
      </c>
      <c r="D37" s="41" t="s">
        <v>653</v>
      </c>
      <c r="E37" s="41" t="s">
        <v>648</v>
      </c>
      <c r="F37" s="41" t="s">
        <v>348</v>
      </c>
      <c r="G37" s="41" t="s">
        <v>383</v>
      </c>
      <c r="H37" s="41" t="s">
        <v>344</v>
      </c>
    </row>
    <row r="38" customFormat="false" ht="12.75" hidden="false" customHeight="true" outlineLevel="0" collapsed="false">
      <c r="A38" s="41" t="s">
        <v>330</v>
      </c>
      <c r="B38" s="49" t="s">
        <v>1012</v>
      </c>
      <c r="C38" s="41" t="s">
        <v>806</v>
      </c>
      <c r="D38" s="41" t="s">
        <v>653</v>
      </c>
      <c r="E38" s="41" t="s">
        <v>648</v>
      </c>
      <c r="F38" s="41" t="s">
        <v>348</v>
      </c>
      <c r="G38" s="41" t="s">
        <v>383</v>
      </c>
      <c r="H38" s="41" t="s">
        <v>344</v>
      </c>
    </row>
    <row r="39" customFormat="false" ht="12.75" hidden="false" customHeight="true" outlineLevel="0" collapsed="false">
      <c r="A39" s="41" t="s">
        <v>330</v>
      </c>
      <c r="B39" s="49" t="s">
        <v>1012</v>
      </c>
      <c r="C39" s="41" t="s">
        <v>808</v>
      </c>
      <c r="D39" s="41" t="s">
        <v>653</v>
      </c>
      <c r="E39" s="41" t="s">
        <v>648</v>
      </c>
      <c r="F39" s="41" t="s">
        <v>348</v>
      </c>
      <c r="G39" s="41" t="s">
        <v>383</v>
      </c>
      <c r="H39" s="41" t="s">
        <v>344</v>
      </c>
    </row>
    <row r="40" customFormat="false" ht="12.75" hidden="false" customHeight="true" outlineLevel="0" collapsed="false">
      <c r="A40" s="41" t="s">
        <v>330</v>
      </c>
      <c r="B40" s="49" t="s">
        <v>1012</v>
      </c>
      <c r="C40" s="41" t="s">
        <v>820</v>
      </c>
      <c r="D40" s="41" t="s">
        <v>653</v>
      </c>
      <c r="E40" s="41" t="s">
        <v>631</v>
      </c>
      <c r="F40" s="41" t="s">
        <v>348</v>
      </c>
      <c r="G40" s="41" t="s">
        <v>383</v>
      </c>
      <c r="H40" s="41" t="s">
        <v>344</v>
      </c>
    </row>
    <row r="41" customFormat="false" ht="12.75" hidden="false" customHeight="true" outlineLevel="0" collapsed="false">
      <c r="A41" s="39" t="s">
        <v>330</v>
      </c>
      <c r="B41" s="39" t="s">
        <v>980</v>
      </c>
      <c r="C41" s="39" t="s">
        <v>585</v>
      </c>
      <c r="D41" s="39" t="s">
        <v>579</v>
      </c>
      <c r="E41" s="39" t="s">
        <v>581</v>
      </c>
      <c r="F41" s="39" t="s">
        <v>348</v>
      </c>
      <c r="G41" s="39" t="s">
        <v>337</v>
      </c>
      <c r="H41" s="39" t="s">
        <v>344</v>
      </c>
    </row>
    <row r="42" customFormat="false" ht="12.75" hidden="false" customHeight="true" outlineLevel="0" collapsed="false">
      <c r="A42" s="38" t="s">
        <v>330</v>
      </c>
      <c r="B42" s="38" t="s">
        <v>975</v>
      </c>
      <c r="C42" s="38" t="s">
        <v>578</v>
      </c>
      <c r="D42" s="38" t="s">
        <v>579</v>
      </c>
      <c r="E42" s="38" t="s">
        <v>581</v>
      </c>
      <c r="F42" s="38" t="s">
        <v>338</v>
      </c>
      <c r="G42" s="38" t="s">
        <v>337</v>
      </c>
      <c r="H42" s="38" t="s">
        <v>344</v>
      </c>
    </row>
    <row r="43" customFormat="false" ht="12.75" hidden="false" customHeight="true" outlineLevel="0" collapsed="false">
      <c r="A43" s="39" t="s">
        <v>330</v>
      </c>
      <c r="B43" s="39" t="s">
        <v>975</v>
      </c>
      <c r="C43" s="39" t="s">
        <v>774</v>
      </c>
      <c r="D43" s="39" t="s">
        <v>653</v>
      </c>
      <c r="E43" s="39" t="s">
        <v>581</v>
      </c>
      <c r="F43" s="39" t="s">
        <v>348</v>
      </c>
      <c r="G43" s="39" t="s">
        <v>383</v>
      </c>
      <c r="H43" s="39" t="s">
        <v>344</v>
      </c>
    </row>
    <row r="44" customFormat="false" ht="12.75" hidden="false" customHeight="true" outlineLevel="0" collapsed="false">
      <c r="A44" s="38" t="s">
        <v>330</v>
      </c>
      <c r="B44" s="38" t="s">
        <v>975</v>
      </c>
      <c r="C44" s="38" t="s">
        <v>457</v>
      </c>
      <c r="D44" s="38" t="s">
        <v>446</v>
      </c>
      <c r="E44" s="38" t="s">
        <v>447</v>
      </c>
      <c r="F44" s="38" t="s">
        <v>338</v>
      </c>
      <c r="G44" s="38" t="s">
        <v>337</v>
      </c>
      <c r="H44" s="38" t="s">
        <v>344</v>
      </c>
    </row>
    <row r="45" customFormat="false" ht="12.75" hidden="false" customHeight="true" outlineLevel="0" collapsed="false">
      <c r="A45" s="39" t="s">
        <v>330</v>
      </c>
      <c r="B45" s="39" t="s">
        <v>975</v>
      </c>
      <c r="C45" s="39" t="s">
        <v>467</v>
      </c>
      <c r="D45" s="39" t="s">
        <v>446</v>
      </c>
      <c r="E45" s="39" t="s">
        <v>447</v>
      </c>
      <c r="F45" s="39" t="s">
        <v>338</v>
      </c>
      <c r="G45" s="39" t="s">
        <v>337</v>
      </c>
      <c r="H45" s="39" t="s">
        <v>344</v>
      </c>
    </row>
    <row r="46" customFormat="false" ht="12.75" hidden="false" customHeight="true" outlineLevel="0" collapsed="false">
      <c r="A46" s="38" t="s">
        <v>330</v>
      </c>
      <c r="B46" s="38" t="s">
        <v>975</v>
      </c>
      <c r="C46" s="38" t="s">
        <v>958</v>
      </c>
      <c r="D46" s="38" t="s">
        <v>922</v>
      </c>
      <c r="E46" s="38" t="s">
        <v>581</v>
      </c>
      <c r="F46" s="38" t="s">
        <v>906</v>
      </c>
      <c r="G46" s="38" t="s">
        <v>925</v>
      </c>
      <c r="H46" s="38" t="s">
        <v>344</v>
      </c>
    </row>
    <row r="47" customFormat="false" ht="12.75" hidden="false" customHeight="true" outlineLevel="0" collapsed="false">
      <c r="A47" s="39" t="s">
        <v>330</v>
      </c>
      <c r="B47" s="39" t="s">
        <v>977</v>
      </c>
      <c r="C47" s="39" t="s">
        <v>445</v>
      </c>
      <c r="D47" s="39" t="s">
        <v>446</v>
      </c>
      <c r="E47" s="39" t="s">
        <v>447</v>
      </c>
      <c r="F47" s="39" t="s">
        <v>338</v>
      </c>
      <c r="G47" s="39" t="s">
        <v>337</v>
      </c>
      <c r="H47" s="39" t="s">
        <v>344</v>
      </c>
    </row>
    <row r="48" customFormat="false" ht="12.75" hidden="false" customHeight="true" outlineLevel="0" collapsed="false">
      <c r="A48" s="38" t="s">
        <v>330</v>
      </c>
      <c r="B48" s="38" t="s">
        <v>977</v>
      </c>
      <c r="C48" s="38" t="s">
        <v>462</v>
      </c>
      <c r="D48" s="38" t="s">
        <v>446</v>
      </c>
      <c r="E48" s="38" t="s">
        <v>447</v>
      </c>
      <c r="F48" s="38" t="s">
        <v>338</v>
      </c>
      <c r="G48" s="38" t="s">
        <v>337</v>
      </c>
      <c r="H48" s="38" t="s">
        <v>344</v>
      </c>
    </row>
    <row r="49" customFormat="false" ht="12.75" hidden="false" customHeight="true" outlineLevel="0" collapsed="false">
      <c r="A49" s="39" t="s">
        <v>330</v>
      </c>
      <c r="B49" s="39" t="s">
        <v>977</v>
      </c>
      <c r="C49" s="39" t="s">
        <v>510</v>
      </c>
      <c r="D49" s="39" t="s">
        <v>446</v>
      </c>
      <c r="E49" s="39" t="s">
        <v>483</v>
      </c>
      <c r="F49" s="39" t="s">
        <v>338</v>
      </c>
      <c r="G49" s="39" t="s">
        <v>337</v>
      </c>
      <c r="H49" s="39" t="s">
        <v>344</v>
      </c>
    </row>
    <row r="50" customFormat="false" ht="12.75" hidden="false" customHeight="true" outlineLevel="0" collapsed="false">
      <c r="A50" s="38" t="s">
        <v>330</v>
      </c>
      <c r="B50" s="38" t="s">
        <v>977</v>
      </c>
      <c r="C50" s="38" t="s">
        <v>518</v>
      </c>
      <c r="D50" s="38" t="s">
        <v>446</v>
      </c>
      <c r="E50" s="38" t="s">
        <v>447</v>
      </c>
      <c r="F50" s="38" t="s">
        <v>338</v>
      </c>
      <c r="G50" s="38" t="s">
        <v>337</v>
      </c>
      <c r="H50" s="38" t="s">
        <v>344</v>
      </c>
    </row>
    <row r="51" customFormat="false" ht="12.75" hidden="false" customHeight="true" outlineLevel="0" collapsed="false">
      <c r="A51" s="39" t="s">
        <v>330</v>
      </c>
      <c r="B51" s="39" t="s">
        <v>485</v>
      </c>
      <c r="C51" s="39" t="s">
        <v>445</v>
      </c>
      <c r="D51" s="39" t="s">
        <v>446</v>
      </c>
      <c r="E51" s="39" t="s">
        <v>447</v>
      </c>
      <c r="F51" s="39" t="s">
        <v>338</v>
      </c>
      <c r="G51" s="39" t="s">
        <v>337</v>
      </c>
      <c r="H51" s="39" t="s">
        <v>344</v>
      </c>
    </row>
    <row r="52" customFormat="false" ht="12.75" hidden="false" customHeight="true" outlineLevel="0" collapsed="false">
      <c r="A52" s="38" t="s">
        <v>330</v>
      </c>
      <c r="B52" s="38" t="s">
        <v>485</v>
      </c>
      <c r="C52" s="38" t="s">
        <v>734</v>
      </c>
      <c r="D52" s="38" t="s">
        <v>653</v>
      </c>
      <c r="E52" s="38" t="s">
        <v>581</v>
      </c>
      <c r="F52" s="38" t="s">
        <v>338</v>
      </c>
      <c r="G52" s="38" t="s">
        <v>383</v>
      </c>
      <c r="H52" s="38" t="s">
        <v>344</v>
      </c>
    </row>
    <row r="53" customFormat="false" ht="12.75" hidden="false" customHeight="true" outlineLevel="0" collapsed="false">
      <c r="A53" s="39" t="s">
        <v>330</v>
      </c>
      <c r="B53" s="39" t="s">
        <v>485</v>
      </c>
      <c r="C53" s="39" t="s">
        <v>481</v>
      </c>
      <c r="D53" s="39" t="s">
        <v>446</v>
      </c>
      <c r="E53" s="39" t="s">
        <v>483</v>
      </c>
      <c r="F53" s="39" t="s">
        <v>338</v>
      </c>
      <c r="G53" s="39" t="s">
        <v>337</v>
      </c>
      <c r="H53" s="39" t="s">
        <v>344</v>
      </c>
    </row>
    <row r="54" customFormat="false" ht="12.75" hidden="false" customHeight="true" outlineLevel="0" collapsed="false">
      <c r="A54" s="38" t="s">
        <v>330</v>
      </c>
      <c r="B54" s="38" t="s">
        <v>485</v>
      </c>
      <c r="C54" s="38" t="s">
        <v>494</v>
      </c>
      <c r="D54" s="38" t="s">
        <v>446</v>
      </c>
      <c r="E54" s="38" t="s">
        <v>495</v>
      </c>
      <c r="F54" s="38" t="s">
        <v>338</v>
      </c>
      <c r="G54" s="38" t="s">
        <v>337</v>
      </c>
      <c r="H54" s="38" t="s">
        <v>344</v>
      </c>
    </row>
    <row r="55" customFormat="false" ht="12.75" hidden="false" customHeight="true" outlineLevel="0" collapsed="false">
      <c r="A55" s="39" t="s">
        <v>330</v>
      </c>
      <c r="B55" s="39" t="s">
        <v>485</v>
      </c>
      <c r="C55" s="39" t="s">
        <v>498</v>
      </c>
      <c r="D55" s="39" t="s">
        <v>446</v>
      </c>
      <c r="E55" s="39" t="s">
        <v>495</v>
      </c>
      <c r="F55" s="39" t="s">
        <v>338</v>
      </c>
      <c r="G55" s="39" t="s">
        <v>337</v>
      </c>
      <c r="H55" s="39" t="s">
        <v>344</v>
      </c>
    </row>
    <row r="56" customFormat="false" ht="12.75" hidden="false" customHeight="true" outlineLevel="0" collapsed="false">
      <c r="A56" s="38" t="s">
        <v>330</v>
      </c>
      <c r="B56" s="38" t="s">
        <v>485</v>
      </c>
      <c r="C56" s="38" t="s">
        <v>520</v>
      </c>
      <c r="D56" s="38" t="s">
        <v>446</v>
      </c>
      <c r="E56" s="38" t="s">
        <v>495</v>
      </c>
      <c r="F56" s="38" t="s">
        <v>338</v>
      </c>
      <c r="G56" s="38" t="s">
        <v>337</v>
      </c>
      <c r="H56" s="38" t="s">
        <v>344</v>
      </c>
    </row>
    <row r="57" customFormat="false" ht="12.75" hidden="false" customHeight="true" outlineLevel="0" collapsed="false">
      <c r="A57" s="39" t="s">
        <v>330</v>
      </c>
      <c r="B57" s="39" t="s">
        <v>485</v>
      </c>
      <c r="C57" s="39" t="s">
        <v>538</v>
      </c>
      <c r="D57" s="39" t="s">
        <v>446</v>
      </c>
      <c r="E57" s="39" t="s">
        <v>474</v>
      </c>
      <c r="F57" s="39" t="s">
        <v>348</v>
      </c>
      <c r="G57" s="39" t="s">
        <v>337</v>
      </c>
      <c r="H57" s="39" t="s">
        <v>344</v>
      </c>
    </row>
    <row r="58" customFormat="false" ht="12.75" hidden="false" customHeight="true" outlineLevel="0" collapsed="false">
      <c r="A58" s="38" t="s">
        <v>330</v>
      </c>
      <c r="B58" s="38" t="s">
        <v>485</v>
      </c>
      <c r="C58" s="38" t="s">
        <v>541</v>
      </c>
      <c r="D58" s="38" t="s">
        <v>446</v>
      </c>
      <c r="E58" s="38" t="s">
        <v>474</v>
      </c>
      <c r="F58" s="38" t="s">
        <v>348</v>
      </c>
      <c r="G58" s="38" t="s">
        <v>337</v>
      </c>
      <c r="H58" s="38" t="s">
        <v>344</v>
      </c>
    </row>
    <row r="59" customFormat="false" ht="12.75" hidden="false" customHeight="true" outlineLevel="0" collapsed="false">
      <c r="A59" s="39" t="s">
        <v>330</v>
      </c>
      <c r="B59" s="39" t="s">
        <v>865</v>
      </c>
      <c r="C59" s="39" t="s">
        <v>859</v>
      </c>
      <c r="D59" s="39" t="s">
        <v>860</v>
      </c>
      <c r="E59" s="39" t="s">
        <v>863</v>
      </c>
      <c r="F59" s="39" t="s">
        <v>348</v>
      </c>
      <c r="G59" s="39" t="s">
        <v>337</v>
      </c>
      <c r="H59" s="39" t="s">
        <v>344</v>
      </c>
    </row>
    <row r="60" customFormat="false" ht="12.75" hidden="false" customHeight="true" outlineLevel="0" collapsed="false">
      <c r="A60" s="38" t="s">
        <v>330</v>
      </c>
      <c r="B60" s="38" t="s">
        <v>865</v>
      </c>
      <c r="C60" s="38" t="s">
        <v>868</v>
      </c>
      <c r="D60" s="38" t="s">
        <v>860</v>
      </c>
      <c r="E60" s="38" t="s">
        <v>863</v>
      </c>
      <c r="F60" s="38" t="s">
        <v>348</v>
      </c>
      <c r="G60" s="38" t="s">
        <v>337</v>
      </c>
      <c r="H60" s="38" t="s">
        <v>344</v>
      </c>
    </row>
    <row r="61" customFormat="false" ht="12.75" hidden="false" customHeight="true" outlineLevel="0" collapsed="false">
      <c r="A61" s="39" t="s">
        <v>330</v>
      </c>
      <c r="B61" s="39" t="s">
        <v>547</v>
      </c>
      <c r="C61" s="39" t="s">
        <v>543</v>
      </c>
      <c r="D61" s="39" t="s">
        <v>544</v>
      </c>
      <c r="E61" s="39" t="s">
        <v>545</v>
      </c>
      <c r="F61" s="39" t="s">
        <v>338</v>
      </c>
      <c r="G61" s="39" t="s">
        <v>337</v>
      </c>
      <c r="H61" s="39" t="s">
        <v>344</v>
      </c>
    </row>
    <row r="62" customFormat="false" ht="12.75" hidden="false" customHeight="true" outlineLevel="0" collapsed="false">
      <c r="A62" s="38" t="s">
        <v>330</v>
      </c>
      <c r="B62" s="38" t="s">
        <v>547</v>
      </c>
      <c r="C62" s="38" t="s">
        <v>549</v>
      </c>
      <c r="D62" s="38" t="s">
        <v>544</v>
      </c>
      <c r="E62" s="38" t="s">
        <v>545</v>
      </c>
      <c r="F62" s="38" t="s">
        <v>338</v>
      </c>
      <c r="G62" s="38" t="s">
        <v>337</v>
      </c>
      <c r="H62" s="38" t="s">
        <v>344</v>
      </c>
    </row>
    <row r="63" customFormat="false" ht="12.75" hidden="false" customHeight="true" outlineLevel="0" collapsed="false">
      <c r="A63" s="39" t="s">
        <v>330</v>
      </c>
      <c r="B63" s="39" t="s">
        <v>547</v>
      </c>
      <c r="C63" s="39" t="s">
        <v>551</v>
      </c>
      <c r="D63" s="39" t="s">
        <v>544</v>
      </c>
      <c r="E63" s="39" t="s">
        <v>545</v>
      </c>
      <c r="F63" s="39" t="s">
        <v>338</v>
      </c>
      <c r="G63" s="39" t="s">
        <v>337</v>
      </c>
      <c r="H63" s="39" t="s">
        <v>344</v>
      </c>
    </row>
    <row r="64" customFormat="false" ht="12.75" hidden="false" customHeight="true" outlineLevel="0" collapsed="false">
      <c r="A64" s="38" t="s">
        <v>330</v>
      </c>
      <c r="B64" s="38" t="s">
        <v>547</v>
      </c>
      <c r="C64" s="38" t="s">
        <v>553</v>
      </c>
      <c r="D64" s="38" t="s">
        <v>544</v>
      </c>
      <c r="E64" s="38" t="s">
        <v>545</v>
      </c>
      <c r="F64" s="38" t="s">
        <v>338</v>
      </c>
      <c r="G64" s="38" t="s">
        <v>337</v>
      </c>
      <c r="H64" s="38" t="s">
        <v>344</v>
      </c>
    </row>
    <row r="65" customFormat="false" ht="12.75" hidden="false" customHeight="true" outlineLevel="0" collapsed="false">
      <c r="A65" s="39" t="s">
        <v>330</v>
      </c>
      <c r="B65" s="39" t="s">
        <v>547</v>
      </c>
      <c r="C65" s="39" t="s">
        <v>557</v>
      </c>
      <c r="D65" s="39" t="s">
        <v>544</v>
      </c>
      <c r="E65" s="39" t="s">
        <v>545</v>
      </c>
      <c r="F65" s="39" t="s">
        <v>338</v>
      </c>
      <c r="G65" s="39" t="s">
        <v>337</v>
      </c>
      <c r="H65" s="39" t="s">
        <v>344</v>
      </c>
    </row>
    <row r="66" customFormat="false" ht="12.75" hidden="false" customHeight="true" outlineLevel="0" collapsed="false">
      <c r="A66" s="38" t="s">
        <v>330</v>
      </c>
      <c r="B66" s="38" t="s">
        <v>547</v>
      </c>
      <c r="C66" s="38" t="s">
        <v>559</v>
      </c>
      <c r="D66" s="38" t="s">
        <v>544</v>
      </c>
      <c r="E66" s="38" t="s">
        <v>545</v>
      </c>
      <c r="F66" s="38" t="s">
        <v>338</v>
      </c>
      <c r="G66" s="38" t="s">
        <v>337</v>
      </c>
      <c r="H66" s="38" t="s">
        <v>344</v>
      </c>
    </row>
    <row r="67" customFormat="false" ht="12.75" hidden="false" customHeight="true" outlineLevel="0" collapsed="false">
      <c r="A67" s="39" t="s">
        <v>330</v>
      </c>
      <c r="B67" s="39" t="s">
        <v>547</v>
      </c>
      <c r="C67" s="39" t="s">
        <v>561</v>
      </c>
      <c r="D67" s="39" t="s">
        <v>544</v>
      </c>
      <c r="E67" s="39" t="s">
        <v>545</v>
      </c>
      <c r="F67" s="39" t="s">
        <v>338</v>
      </c>
      <c r="G67" s="39" t="s">
        <v>337</v>
      </c>
      <c r="H67" s="39" t="s">
        <v>344</v>
      </c>
    </row>
    <row r="68" customFormat="false" ht="12.75" hidden="false" customHeight="true" outlineLevel="0" collapsed="false">
      <c r="A68" s="38" t="s">
        <v>330</v>
      </c>
      <c r="B68" s="38" t="s">
        <v>547</v>
      </c>
      <c r="C68" s="38" t="s">
        <v>563</v>
      </c>
      <c r="D68" s="38" t="s">
        <v>544</v>
      </c>
      <c r="E68" s="38" t="s">
        <v>545</v>
      </c>
      <c r="F68" s="38" t="s">
        <v>338</v>
      </c>
      <c r="G68" s="38" t="s">
        <v>337</v>
      </c>
      <c r="H68" s="38" t="s">
        <v>344</v>
      </c>
    </row>
    <row r="69" customFormat="false" ht="12.75" hidden="false" customHeight="true" outlineLevel="0" collapsed="false">
      <c r="A69" s="39" t="s">
        <v>330</v>
      </c>
      <c r="B69" s="39" t="s">
        <v>547</v>
      </c>
      <c r="C69" s="39" t="s">
        <v>566</v>
      </c>
      <c r="D69" s="39" t="s">
        <v>544</v>
      </c>
      <c r="E69" s="39" t="s">
        <v>545</v>
      </c>
      <c r="F69" s="39" t="s">
        <v>348</v>
      </c>
      <c r="G69" s="39" t="s">
        <v>337</v>
      </c>
      <c r="H69" s="39" t="s">
        <v>344</v>
      </c>
    </row>
    <row r="70" customFormat="false" ht="12.75" hidden="false" customHeight="true" outlineLevel="0" collapsed="false">
      <c r="A70" s="38" t="s">
        <v>330</v>
      </c>
      <c r="B70" s="38" t="s">
        <v>547</v>
      </c>
      <c r="C70" s="38" t="s">
        <v>568</v>
      </c>
      <c r="D70" s="38" t="s">
        <v>544</v>
      </c>
      <c r="E70" s="38" t="s">
        <v>545</v>
      </c>
      <c r="F70" s="38" t="s">
        <v>348</v>
      </c>
      <c r="G70" s="38" t="s">
        <v>337</v>
      </c>
      <c r="H70" s="38" t="s">
        <v>344</v>
      </c>
    </row>
    <row r="71" customFormat="false" ht="12.75" hidden="false" customHeight="true" outlineLevel="0" collapsed="false">
      <c r="A71" s="39" t="s">
        <v>330</v>
      </c>
      <c r="B71" s="39" t="s">
        <v>981</v>
      </c>
      <c r="C71" s="39" t="s">
        <v>780</v>
      </c>
      <c r="D71" s="39" t="s">
        <v>653</v>
      </c>
      <c r="E71" s="39" t="s">
        <v>581</v>
      </c>
      <c r="F71" s="39" t="s">
        <v>348</v>
      </c>
      <c r="G71" s="39" t="s">
        <v>383</v>
      </c>
      <c r="H71" s="39" t="s">
        <v>344</v>
      </c>
    </row>
    <row r="72" customFormat="false" ht="12.75" hidden="false" customHeight="true" outlineLevel="0" collapsed="false">
      <c r="A72" s="38" t="s">
        <v>330</v>
      </c>
      <c r="B72" s="38" t="s">
        <v>455</v>
      </c>
      <c r="C72" s="38" t="s">
        <v>570</v>
      </c>
      <c r="D72" s="38" t="s">
        <v>571</v>
      </c>
      <c r="E72" s="38" t="s">
        <v>453</v>
      </c>
      <c r="F72" s="38" t="s">
        <v>338</v>
      </c>
      <c r="G72" s="38" t="s">
        <v>337</v>
      </c>
      <c r="H72" s="38" t="s">
        <v>344</v>
      </c>
    </row>
    <row r="73" customFormat="false" ht="12.75" hidden="false" customHeight="true" outlineLevel="0" collapsed="false">
      <c r="A73" s="39" t="s">
        <v>330</v>
      </c>
      <c r="B73" s="39" t="s">
        <v>455</v>
      </c>
      <c r="C73" s="39" t="s">
        <v>451</v>
      </c>
      <c r="D73" s="39" t="s">
        <v>446</v>
      </c>
      <c r="E73" s="39" t="s">
        <v>453</v>
      </c>
      <c r="F73" s="39" t="s">
        <v>338</v>
      </c>
      <c r="G73" s="39" t="s">
        <v>337</v>
      </c>
      <c r="H73" s="39" t="s">
        <v>344</v>
      </c>
    </row>
    <row r="74" customFormat="false" ht="12.75" hidden="false" customHeight="true" outlineLevel="0" collapsed="false">
      <c r="A74" s="38" t="s">
        <v>330</v>
      </c>
      <c r="B74" s="38" t="s">
        <v>455</v>
      </c>
      <c r="C74" s="38" t="s">
        <v>457</v>
      </c>
      <c r="D74" s="38" t="s">
        <v>446</v>
      </c>
      <c r="E74" s="38" t="s">
        <v>447</v>
      </c>
      <c r="F74" s="38" t="s">
        <v>338</v>
      </c>
      <c r="G74" s="38" t="s">
        <v>337</v>
      </c>
      <c r="H74" s="38" t="s">
        <v>344</v>
      </c>
    </row>
    <row r="75" customFormat="false" ht="12.75" hidden="false" customHeight="true" outlineLevel="0" collapsed="false">
      <c r="A75" s="39" t="s">
        <v>330</v>
      </c>
      <c r="B75" s="39" t="s">
        <v>455</v>
      </c>
      <c r="C75" s="39" t="s">
        <v>467</v>
      </c>
      <c r="D75" s="39" t="s">
        <v>446</v>
      </c>
      <c r="E75" s="39" t="s">
        <v>447</v>
      </c>
      <c r="F75" s="39" t="s">
        <v>338</v>
      </c>
      <c r="G75" s="39" t="s">
        <v>337</v>
      </c>
      <c r="H75" s="39" t="s">
        <v>344</v>
      </c>
    </row>
    <row r="76" customFormat="false" ht="12.75" hidden="false" customHeight="true" outlineLevel="0" collapsed="false">
      <c r="A76" s="38" t="s">
        <v>330</v>
      </c>
      <c r="B76" s="38" t="s">
        <v>455</v>
      </c>
      <c r="C76" s="38" t="s">
        <v>478</v>
      </c>
      <c r="D76" s="38" t="s">
        <v>446</v>
      </c>
      <c r="E76" s="38" t="s">
        <v>453</v>
      </c>
      <c r="F76" s="38" t="s">
        <v>338</v>
      </c>
      <c r="G76" s="38" t="s">
        <v>337</v>
      </c>
      <c r="H76" s="38" t="s">
        <v>344</v>
      </c>
    </row>
    <row r="77" customFormat="false" ht="12.75" hidden="false" customHeight="true" outlineLevel="0" collapsed="false">
      <c r="A77" s="39" t="s">
        <v>330</v>
      </c>
      <c r="B77" s="39" t="s">
        <v>455</v>
      </c>
      <c r="C77" s="39" t="s">
        <v>529</v>
      </c>
      <c r="D77" s="39" t="s">
        <v>446</v>
      </c>
      <c r="E77" s="39" t="s">
        <v>453</v>
      </c>
      <c r="F77" s="39" t="s">
        <v>338</v>
      </c>
      <c r="G77" s="39" t="s">
        <v>337</v>
      </c>
      <c r="H77" s="39" t="s">
        <v>344</v>
      </c>
    </row>
    <row r="78" customFormat="false" ht="12.75" hidden="false" customHeight="true" outlineLevel="0" collapsed="false">
      <c r="A78" s="38" t="s">
        <v>330</v>
      </c>
      <c r="B78" s="38" t="s">
        <v>455</v>
      </c>
      <c r="C78" s="38" t="s">
        <v>532</v>
      </c>
      <c r="D78" s="38" t="s">
        <v>446</v>
      </c>
      <c r="E78" s="38" t="s">
        <v>453</v>
      </c>
      <c r="F78" s="38" t="s">
        <v>338</v>
      </c>
      <c r="G78" s="38" t="s">
        <v>337</v>
      </c>
      <c r="H78" s="38" t="s">
        <v>344</v>
      </c>
    </row>
    <row r="79" customFormat="false" ht="12.75" hidden="false" customHeight="true" outlineLevel="0" collapsed="false">
      <c r="A79" s="39" t="s">
        <v>330</v>
      </c>
      <c r="B79" s="39" t="s">
        <v>455</v>
      </c>
      <c r="C79" s="39" t="s">
        <v>928</v>
      </c>
      <c r="D79" s="39" t="s">
        <v>922</v>
      </c>
      <c r="E79" s="39" t="s">
        <v>453</v>
      </c>
      <c r="F79" s="39" t="s">
        <v>906</v>
      </c>
      <c r="G79" s="39" t="s">
        <v>925</v>
      </c>
      <c r="H79" s="39" t="s">
        <v>344</v>
      </c>
    </row>
    <row r="80" customFormat="false" ht="12.75" hidden="false" customHeight="true" outlineLevel="0" collapsed="false">
      <c r="A80" s="38" t="s">
        <v>330</v>
      </c>
      <c r="B80" s="38" t="s">
        <v>506</v>
      </c>
      <c r="C80" s="38" t="s">
        <v>654</v>
      </c>
      <c r="D80" s="38" t="s">
        <v>653</v>
      </c>
      <c r="E80" s="38" t="s">
        <v>488</v>
      </c>
      <c r="F80" s="38" t="s">
        <v>338</v>
      </c>
      <c r="G80" s="38" t="s">
        <v>383</v>
      </c>
      <c r="H80" s="38" t="s">
        <v>344</v>
      </c>
    </row>
    <row r="81" customFormat="false" ht="12.75" hidden="false" customHeight="true" outlineLevel="0" collapsed="false">
      <c r="A81" s="39" t="s">
        <v>330</v>
      </c>
      <c r="B81" s="39" t="s">
        <v>506</v>
      </c>
      <c r="C81" s="39" t="s">
        <v>670</v>
      </c>
      <c r="D81" s="39" t="s">
        <v>653</v>
      </c>
      <c r="E81" s="39" t="s">
        <v>488</v>
      </c>
      <c r="F81" s="39" t="s">
        <v>338</v>
      </c>
      <c r="G81" s="39" t="s">
        <v>383</v>
      </c>
      <c r="H81" s="39" t="s">
        <v>344</v>
      </c>
    </row>
    <row r="82" customFormat="false" ht="12.75" hidden="false" customHeight="true" outlineLevel="0" collapsed="false">
      <c r="A82" s="38" t="s">
        <v>330</v>
      </c>
      <c r="B82" s="38" t="s">
        <v>506</v>
      </c>
      <c r="C82" s="38" t="s">
        <v>696</v>
      </c>
      <c r="D82" s="38" t="s">
        <v>653</v>
      </c>
      <c r="E82" s="38" t="s">
        <v>488</v>
      </c>
      <c r="F82" s="38" t="s">
        <v>338</v>
      </c>
      <c r="G82" s="38" t="s">
        <v>383</v>
      </c>
      <c r="H82" s="38" t="s">
        <v>344</v>
      </c>
    </row>
    <row r="83" customFormat="false" ht="12.75" hidden="false" customHeight="true" outlineLevel="0" collapsed="false">
      <c r="A83" s="39" t="s">
        <v>330</v>
      </c>
      <c r="B83" s="39" t="s">
        <v>506</v>
      </c>
      <c r="C83" s="39" t="s">
        <v>707</v>
      </c>
      <c r="D83" s="39" t="s">
        <v>653</v>
      </c>
      <c r="E83" s="39" t="s">
        <v>392</v>
      </c>
      <c r="F83" s="39" t="s">
        <v>338</v>
      </c>
      <c r="G83" s="39" t="s">
        <v>383</v>
      </c>
      <c r="H83" s="39" t="s">
        <v>344</v>
      </c>
    </row>
    <row r="84" customFormat="false" ht="12.75" hidden="false" customHeight="true" outlineLevel="0" collapsed="false">
      <c r="A84" s="38" t="s">
        <v>330</v>
      </c>
      <c r="B84" s="38" t="s">
        <v>506</v>
      </c>
      <c r="C84" s="38" t="s">
        <v>709</v>
      </c>
      <c r="D84" s="38" t="s">
        <v>653</v>
      </c>
      <c r="E84" s="38" t="s">
        <v>392</v>
      </c>
      <c r="F84" s="38" t="s">
        <v>338</v>
      </c>
      <c r="G84" s="38" t="s">
        <v>383</v>
      </c>
      <c r="H84" s="38" t="s">
        <v>344</v>
      </c>
    </row>
    <row r="85" customFormat="false" ht="12.75" hidden="false" customHeight="true" outlineLevel="0" collapsed="false">
      <c r="A85" s="39" t="s">
        <v>330</v>
      </c>
      <c r="B85" s="39" t="s">
        <v>506</v>
      </c>
      <c r="C85" s="39" t="s">
        <v>725</v>
      </c>
      <c r="D85" s="39" t="s">
        <v>653</v>
      </c>
      <c r="E85" s="39" t="s">
        <v>488</v>
      </c>
      <c r="F85" s="39" t="s">
        <v>338</v>
      </c>
      <c r="G85" s="39" t="s">
        <v>383</v>
      </c>
      <c r="H85" s="39" t="s">
        <v>344</v>
      </c>
    </row>
    <row r="86" customFormat="false" ht="12.75" hidden="false" customHeight="true" outlineLevel="0" collapsed="false">
      <c r="A86" s="38" t="s">
        <v>330</v>
      </c>
      <c r="B86" s="38" t="s">
        <v>506</v>
      </c>
      <c r="C86" s="38" t="s">
        <v>740</v>
      </c>
      <c r="D86" s="38" t="s">
        <v>653</v>
      </c>
      <c r="E86" s="38" t="s">
        <v>392</v>
      </c>
      <c r="F86" s="38" t="s">
        <v>338</v>
      </c>
      <c r="G86" s="38" t="s">
        <v>383</v>
      </c>
      <c r="H86" s="38" t="s">
        <v>344</v>
      </c>
    </row>
    <row r="87" customFormat="false" ht="12.75" hidden="false" customHeight="true" outlineLevel="0" collapsed="false">
      <c r="A87" s="39" t="s">
        <v>330</v>
      </c>
      <c r="B87" s="39" t="s">
        <v>506</v>
      </c>
      <c r="C87" s="39" t="s">
        <v>744</v>
      </c>
      <c r="D87" s="39" t="s">
        <v>653</v>
      </c>
      <c r="E87" s="39" t="s">
        <v>392</v>
      </c>
      <c r="F87" s="39" t="s">
        <v>338</v>
      </c>
      <c r="G87" s="39" t="s">
        <v>383</v>
      </c>
      <c r="H87" s="39" t="s">
        <v>344</v>
      </c>
    </row>
    <row r="88" customFormat="false" ht="12.75" hidden="false" customHeight="true" outlineLevel="0" collapsed="false">
      <c r="A88" s="38" t="s">
        <v>330</v>
      </c>
      <c r="B88" s="38" t="s">
        <v>506</v>
      </c>
      <c r="C88" s="38" t="s">
        <v>768</v>
      </c>
      <c r="D88" s="38" t="s">
        <v>653</v>
      </c>
      <c r="E88" s="38" t="s">
        <v>392</v>
      </c>
      <c r="F88" s="38" t="s">
        <v>348</v>
      </c>
      <c r="G88" s="38" t="s">
        <v>383</v>
      </c>
      <c r="H88" s="38" t="s">
        <v>344</v>
      </c>
    </row>
    <row r="89" customFormat="false" ht="12.75" hidden="false" customHeight="true" outlineLevel="0" collapsed="false">
      <c r="A89" s="39" t="s">
        <v>330</v>
      </c>
      <c r="B89" s="39" t="s">
        <v>506</v>
      </c>
      <c r="C89" s="39" t="s">
        <v>772</v>
      </c>
      <c r="D89" s="39" t="s">
        <v>653</v>
      </c>
      <c r="E89" s="39" t="s">
        <v>648</v>
      </c>
      <c r="F89" s="39" t="s">
        <v>348</v>
      </c>
      <c r="G89" s="39" t="s">
        <v>383</v>
      </c>
      <c r="H89" s="39" t="s">
        <v>344</v>
      </c>
    </row>
    <row r="90" customFormat="false" ht="12.75" hidden="false" customHeight="true" outlineLevel="0" collapsed="false">
      <c r="A90" s="38" t="s">
        <v>330</v>
      </c>
      <c r="B90" s="38" t="s">
        <v>506</v>
      </c>
      <c r="C90" s="38" t="s">
        <v>795</v>
      </c>
      <c r="D90" s="38" t="s">
        <v>653</v>
      </c>
      <c r="E90" s="38" t="s">
        <v>488</v>
      </c>
      <c r="F90" s="38" t="s">
        <v>348</v>
      </c>
      <c r="G90" s="38" t="s">
        <v>383</v>
      </c>
      <c r="H90" s="38" t="s">
        <v>344</v>
      </c>
    </row>
    <row r="91" customFormat="false" ht="12.75" hidden="false" customHeight="true" outlineLevel="0" collapsed="false">
      <c r="A91" s="39" t="s">
        <v>330</v>
      </c>
      <c r="B91" s="39" t="s">
        <v>506</v>
      </c>
      <c r="C91" s="39" t="s">
        <v>810</v>
      </c>
      <c r="D91" s="39" t="s">
        <v>653</v>
      </c>
      <c r="E91" s="39" t="s">
        <v>488</v>
      </c>
      <c r="F91" s="39" t="s">
        <v>348</v>
      </c>
      <c r="G91" s="39" t="s">
        <v>383</v>
      </c>
      <c r="H91" s="39" t="s">
        <v>344</v>
      </c>
    </row>
    <row r="92" customFormat="false" ht="12.75" hidden="false" customHeight="true" outlineLevel="0" collapsed="false">
      <c r="A92" s="38" t="s">
        <v>330</v>
      </c>
      <c r="B92" s="38" t="s">
        <v>506</v>
      </c>
      <c r="C92" s="38" t="s">
        <v>487</v>
      </c>
      <c r="D92" s="38" t="s">
        <v>446</v>
      </c>
      <c r="E92" s="38" t="s">
        <v>488</v>
      </c>
      <c r="F92" s="38" t="s">
        <v>338</v>
      </c>
      <c r="G92" s="38" t="s">
        <v>337</v>
      </c>
      <c r="H92" s="38" t="s">
        <v>344</v>
      </c>
    </row>
    <row r="93" customFormat="false" ht="12.75" hidden="false" customHeight="true" outlineLevel="0" collapsed="false">
      <c r="A93" s="39" t="s">
        <v>330</v>
      </c>
      <c r="B93" s="39" t="s">
        <v>506</v>
      </c>
      <c r="C93" s="39" t="s">
        <v>492</v>
      </c>
      <c r="D93" s="39" t="s">
        <v>446</v>
      </c>
      <c r="E93" s="39" t="s">
        <v>488</v>
      </c>
      <c r="F93" s="39" t="s">
        <v>338</v>
      </c>
      <c r="G93" s="39" t="s">
        <v>337</v>
      </c>
      <c r="H93" s="39" t="s">
        <v>344</v>
      </c>
    </row>
    <row r="94" customFormat="false" ht="12.75" hidden="false" customHeight="true" outlineLevel="0" collapsed="false">
      <c r="A94" s="38" t="s">
        <v>330</v>
      </c>
      <c r="B94" s="38" t="s">
        <v>506</v>
      </c>
      <c r="C94" s="38" t="s">
        <v>503</v>
      </c>
      <c r="D94" s="38" t="s">
        <v>446</v>
      </c>
      <c r="E94" s="38" t="s">
        <v>488</v>
      </c>
      <c r="F94" s="38" t="s">
        <v>338</v>
      </c>
      <c r="G94" s="38" t="s">
        <v>337</v>
      </c>
      <c r="H94" s="38" t="s">
        <v>344</v>
      </c>
    </row>
    <row r="95" customFormat="false" ht="12.75" hidden="false" customHeight="true" outlineLevel="0" collapsed="false">
      <c r="A95" s="39" t="s">
        <v>330</v>
      </c>
      <c r="B95" s="39" t="s">
        <v>506</v>
      </c>
      <c r="C95" s="39" t="s">
        <v>513</v>
      </c>
      <c r="D95" s="39" t="s">
        <v>446</v>
      </c>
      <c r="E95" s="39" t="s">
        <v>488</v>
      </c>
      <c r="F95" s="39" t="s">
        <v>338</v>
      </c>
      <c r="G95" s="39" t="s">
        <v>337</v>
      </c>
      <c r="H95" s="39" t="s">
        <v>344</v>
      </c>
    </row>
    <row r="96" customFormat="false" ht="12.75" hidden="false" customHeight="true" outlineLevel="0" collapsed="false">
      <c r="A96" s="38" t="s">
        <v>330</v>
      </c>
      <c r="B96" s="38" t="s">
        <v>506</v>
      </c>
      <c r="C96" s="38" t="s">
        <v>522</v>
      </c>
      <c r="D96" s="38" t="s">
        <v>446</v>
      </c>
      <c r="E96" s="38" t="s">
        <v>474</v>
      </c>
      <c r="F96" s="38" t="s">
        <v>338</v>
      </c>
      <c r="G96" s="38" t="s">
        <v>337</v>
      </c>
      <c r="H96" s="38" t="s">
        <v>344</v>
      </c>
    </row>
    <row r="97" customFormat="false" ht="12.75" hidden="false" customHeight="true" outlineLevel="0" collapsed="false">
      <c r="A97" s="39" t="s">
        <v>330</v>
      </c>
      <c r="B97" s="39" t="s">
        <v>506</v>
      </c>
      <c r="C97" s="39" t="s">
        <v>524</v>
      </c>
      <c r="D97" s="39" t="s">
        <v>446</v>
      </c>
      <c r="E97" s="39" t="s">
        <v>474</v>
      </c>
      <c r="F97" s="39" t="s">
        <v>338</v>
      </c>
      <c r="G97" s="39" t="s">
        <v>337</v>
      </c>
      <c r="H97" s="39" t="s">
        <v>344</v>
      </c>
    </row>
    <row r="98" customFormat="false" ht="12.75" hidden="false" customHeight="true" outlineLevel="0" collapsed="false">
      <c r="A98" s="38" t="s">
        <v>330</v>
      </c>
      <c r="B98" s="38" t="s">
        <v>506</v>
      </c>
      <c r="C98" s="38" t="s">
        <v>526</v>
      </c>
      <c r="D98" s="38" t="s">
        <v>446</v>
      </c>
      <c r="E98" s="38" t="s">
        <v>474</v>
      </c>
      <c r="F98" s="38" t="s">
        <v>338</v>
      </c>
      <c r="G98" s="38" t="s">
        <v>337</v>
      </c>
      <c r="H98" s="38" t="s">
        <v>344</v>
      </c>
    </row>
    <row r="99" customFormat="false" ht="12.75" hidden="false" customHeight="true" outlineLevel="0" collapsed="false">
      <c r="A99" s="39" t="s">
        <v>330</v>
      </c>
      <c r="B99" s="39" t="s">
        <v>506</v>
      </c>
      <c r="C99" s="39" t="s">
        <v>942</v>
      </c>
      <c r="D99" s="39" t="s">
        <v>922</v>
      </c>
      <c r="E99" s="39" t="s">
        <v>945</v>
      </c>
      <c r="F99" s="39" t="s">
        <v>906</v>
      </c>
      <c r="G99" s="39" t="s">
        <v>925</v>
      </c>
      <c r="H99" s="39" t="s">
        <v>344</v>
      </c>
    </row>
    <row r="100" customFormat="false" ht="12.75" hidden="false" customHeight="true" outlineLevel="0" collapsed="false">
      <c r="A100" s="38" t="s">
        <v>330</v>
      </c>
      <c r="B100" s="38" t="s">
        <v>506</v>
      </c>
      <c r="C100" s="38" t="s">
        <v>950</v>
      </c>
      <c r="D100" s="38" t="s">
        <v>922</v>
      </c>
      <c r="E100" s="38" t="s">
        <v>488</v>
      </c>
      <c r="F100" s="38" t="s">
        <v>906</v>
      </c>
      <c r="G100" s="38" t="s">
        <v>925</v>
      </c>
      <c r="H100" s="38" t="s">
        <v>344</v>
      </c>
    </row>
    <row r="101" customFormat="false" ht="12.75" hidden="false" customHeight="true" outlineLevel="0" collapsed="false">
      <c r="A101" s="39" t="s">
        <v>330</v>
      </c>
      <c r="B101" s="39" t="s">
        <v>982</v>
      </c>
      <c r="C101" s="39" t="s">
        <v>390</v>
      </c>
      <c r="D101" s="39" t="s">
        <v>335</v>
      </c>
      <c r="E101" s="39" t="s">
        <v>392</v>
      </c>
      <c r="F101" s="39" t="s">
        <v>338</v>
      </c>
      <c r="G101" s="39" t="s">
        <v>383</v>
      </c>
      <c r="H101" s="39" t="s">
        <v>344</v>
      </c>
    </row>
    <row r="102" customFormat="false" ht="12.75" hidden="false" customHeight="true" outlineLevel="0" collapsed="false">
      <c r="A102" s="38" t="s">
        <v>330</v>
      </c>
      <c r="B102" s="38" t="s">
        <v>594</v>
      </c>
      <c r="C102" s="38" t="s">
        <v>590</v>
      </c>
      <c r="D102" s="38" t="s">
        <v>591</v>
      </c>
      <c r="E102" s="38" t="s">
        <v>592</v>
      </c>
      <c r="F102" s="38" t="s">
        <v>338</v>
      </c>
      <c r="G102" s="38" t="s">
        <v>337</v>
      </c>
      <c r="H102" s="38" t="s">
        <v>344</v>
      </c>
    </row>
    <row r="103" customFormat="false" ht="12.75" hidden="false" customHeight="true" outlineLevel="0" collapsed="false">
      <c r="A103" s="39" t="s">
        <v>330</v>
      </c>
      <c r="B103" s="39" t="s">
        <v>594</v>
      </c>
      <c r="C103" s="39" t="s">
        <v>598</v>
      </c>
      <c r="D103" s="39" t="s">
        <v>591</v>
      </c>
      <c r="E103" s="39" t="s">
        <v>592</v>
      </c>
      <c r="F103" s="39" t="s">
        <v>348</v>
      </c>
      <c r="G103" s="39" t="s">
        <v>337</v>
      </c>
      <c r="H103" s="39" t="s">
        <v>344</v>
      </c>
    </row>
    <row r="104" customFormat="false" ht="12.75" hidden="false" customHeight="true" outlineLevel="0" collapsed="false">
      <c r="A104" s="38" t="s">
        <v>330</v>
      </c>
      <c r="B104" s="38" t="s">
        <v>594</v>
      </c>
      <c r="C104" s="38" t="s">
        <v>603</v>
      </c>
      <c r="D104" s="38" t="s">
        <v>604</v>
      </c>
      <c r="E104" s="38" t="s">
        <v>488</v>
      </c>
      <c r="F104" s="38" t="s">
        <v>338</v>
      </c>
      <c r="G104" s="38" t="s">
        <v>337</v>
      </c>
      <c r="H104" s="38" t="s">
        <v>344</v>
      </c>
    </row>
    <row r="105" customFormat="false" ht="12.75" hidden="false" customHeight="true" outlineLevel="0" collapsed="false">
      <c r="A105" s="39" t="s">
        <v>330</v>
      </c>
      <c r="B105" s="39" t="s">
        <v>594</v>
      </c>
      <c r="C105" s="39" t="s">
        <v>667</v>
      </c>
      <c r="D105" s="39" t="s">
        <v>653</v>
      </c>
      <c r="E105" s="39" t="s">
        <v>648</v>
      </c>
      <c r="F105" s="39" t="s">
        <v>338</v>
      </c>
      <c r="G105" s="39" t="s">
        <v>383</v>
      </c>
      <c r="H105" s="39" t="s">
        <v>344</v>
      </c>
    </row>
    <row r="106" customFormat="false" ht="12.75" hidden="false" customHeight="true" outlineLevel="0" collapsed="false">
      <c r="A106" s="38" t="s">
        <v>330</v>
      </c>
      <c r="B106" s="38" t="s">
        <v>594</v>
      </c>
      <c r="C106" s="38" t="s">
        <v>718</v>
      </c>
      <c r="D106" s="38" t="s">
        <v>653</v>
      </c>
      <c r="E106" s="38" t="s">
        <v>648</v>
      </c>
      <c r="F106" s="38" t="s">
        <v>338</v>
      </c>
      <c r="G106" s="38" t="s">
        <v>383</v>
      </c>
      <c r="H106" s="38" t="s">
        <v>344</v>
      </c>
    </row>
    <row r="107" customFormat="false" ht="12.75" hidden="false" customHeight="true" outlineLevel="0" collapsed="false">
      <c r="A107" s="39" t="s">
        <v>330</v>
      </c>
      <c r="B107" s="39" t="s">
        <v>594</v>
      </c>
      <c r="C107" s="39" t="s">
        <v>817</v>
      </c>
      <c r="D107" s="39" t="s">
        <v>653</v>
      </c>
      <c r="E107" s="39" t="s">
        <v>392</v>
      </c>
      <c r="F107" s="39" t="s">
        <v>348</v>
      </c>
      <c r="G107" s="39" t="s">
        <v>383</v>
      </c>
      <c r="H107" s="39" t="s">
        <v>344</v>
      </c>
    </row>
    <row r="108" customFormat="false" ht="12.75" hidden="false" customHeight="true" outlineLevel="0" collapsed="false">
      <c r="A108" s="38" t="s">
        <v>330</v>
      </c>
      <c r="B108" s="38" t="s">
        <v>594</v>
      </c>
      <c r="C108" s="38" t="s">
        <v>600</v>
      </c>
      <c r="D108" s="38" t="s">
        <v>591</v>
      </c>
      <c r="E108" s="38" t="s">
        <v>592</v>
      </c>
      <c r="F108" s="38" t="s">
        <v>338</v>
      </c>
      <c r="G108" s="38" t="s">
        <v>337</v>
      </c>
      <c r="H108" s="38" t="s">
        <v>344</v>
      </c>
    </row>
    <row r="109" customFormat="false" ht="12.75" hidden="false" customHeight="true" outlineLevel="0" collapsed="false">
      <c r="A109" s="39" t="s">
        <v>330</v>
      </c>
      <c r="B109" s="39" t="s">
        <v>979</v>
      </c>
      <c r="C109" s="39" t="s">
        <v>585</v>
      </c>
      <c r="D109" s="39" t="s">
        <v>579</v>
      </c>
      <c r="E109" s="39" t="s">
        <v>581</v>
      </c>
      <c r="F109" s="39" t="s">
        <v>348</v>
      </c>
      <c r="G109" s="39" t="s">
        <v>337</v>
      </c>
      <c r="H109" s="39" t="s">
        <v>344</v>
      </c>
    </row>
    <row r="110" customFormat="false" ht="12.75" hidden="false" customHeight="true" outlineLevel="0" collapsed="false">
      <c r="A110" s="38" t="s">
        <v>330</v>
      </c>
      <c r="B110" s="38" t="s">
        <v>979</v>
      </c>
      <c r="C110" s="38" t="s">
        <v>958</v>
      </c>
      <c r="D110" s="38" t="s">
        <v>922</v>
      </c>
      <c r="E110" s="38" t="s">
        <v>581</v>
      </c>
      <c r="F110" s="38" t="s">
        <v>906</v>
      </c>
      <c r="G110" s="38" t="s">
        <v>925</v>
      </c>
      <c r="H110" s="38" t="s">
        <v>344</v>
      </c>
    </row>
    <row r="111" customFormat="false" ht="12.75" hidden="false" customHeight="true" outlineLevel="0" collapsed="false">
      <c r="A111" s="39" t="s">
        <v>330</v>
      </c>
      <c r="B111" s="39" t="s">
        <v>476</v>
      </c>
      <c r="C111" s="39" t="s">
        <v>824</v>
      </c>
      <c r="D111" s="39" t="s">
        <v>825</v>
      </c>
      <c r="E111" s="39" t="s">
        <v>829</v>
      </c>
      <c r="F111" s="39" t="s">
        <v>348</v>
      </c>
      <c r="G111" s="39" t="s">
        <v>337</v>
      </c>
      <c r="H111" s="39" t="s">
        <v>344</v>
      </c>
    </row>
    <row r="112" customFormat="false" ht="12.75" hidden="false" customHeight="true" outlineLevel="0" collapsed="false">
      <c r="A112" s="38" t="s">
        <v>330</v>
      </c>
      <c r="B112" s="38" t="s">
        <v>476</v>
      </c>
      <c r="C112" s="38" t="s">
        <v>578</v>
      </c>
      <c r="D112" s="38" t="s">
        <v>579</v>
      </c>
      <c r="E112" s="38" t="s">
        <v>581</v>
      </c>
      <c r="F112" s="38" t="s">
        <v>338</v>
      </c>
      <c r="G112" s="38" t="s">
        <v>337</v>
      </c>
      <c r="H112" s="38" t="s">
        <v>344</v>
      </c>
    </row>
    <row r="113" customFormat="false" ht="12.75" hidden="false" customHeight="true" outlineLevel="0" collapsed="false">
      <c r="A113" s="39" t="s">
        <v>330</v>
      </c>
      <c r="B113" s="39" t="s">
        <v>476</v>
      </c>
      <c r="C113" s="39" t="s">
        <v>854</v>
      </c>
      <c r="D113" s="39" t="s">
        <v>845</v>
      </c>
      <c r="E113" s="39" t="s">
        <v>846</v>
      </c>
      <c r="F113" s="39" t="s">
        <v>338</v>
      </c>
      <c r="G113" s="39" t="s">
        <v>359</v>
      </c>
      <c r="H113" s="39" t="s">
        <v>344</v>
      </c>
    </row>
    <row r="114" customFormat="false" ht="12.75" hidden="false" customHeight="true" outlineLevel="0" collapsed="false">
      <c r="A114" s="38" t="s">
        <v>330</v>
      </c>
      <c r="B114" s="38" t="s">
        <v>476</v>
      </c>
      <c r="C114" s="38" t="s">
        <v>445</v>
      </c>
      <c r="D114" s="38" t="s">
        <v>446</v>
      </c>
      <c r="E114" s="38" t="s">
        <v>447</v>
      </c>
      <c r="F114" s="38" t="s">
        <v>338</v>
      </c>
      <c r="G114" s="38" t="s">
        <v>337</v>
      </c>
      <c r="H114" s="38" t="s">
        <v>344</v>
      </c>
    </row>
    <row r="115" customFormat="false" ht="12.75" hidden="false" customHeight="true" outlineLevel="0" collapsed="false">
      <c r="A115" s="39" t="s">
        <v>330</v>
      </c>
      <c r="B115" s="39" t="s">
        <v>476</v>
      </c>
      <c r="C115" s="39" t="s">
        <v>832</v>
      </c>
      <c r="D115" s="39" t="s">
        <v>825</v>
      </c>
      <c r="E115" s="39" t="s">
        <v>829</v>
      </c>
      <c r="F115" s="39" t="s">
        <v>348</v>
      </c>
      <c r="G115" s="39" t="s">
        <v>337</v>
      </c>
      <c r="H115" s="39" t="s">
        <v>344</v>
      </c>
    </row>
    <row r="116" customFormat="false" ht="12.75" hidden="false" customHeight="true" outlineLevel="0" collapsed="false">
      <c r="A116" s="38" t="s">
        <v>330</v>
      </c>
      <c r="B116" s="38" t="s">
        <v>476</v>
      </c>
      <c r="C116" s="38" t="s">
        <v>837</v>
      </c>
      <c r="D116" s="38" t="s">
        <v>825</v>
      </c>
      <c r="E116" s="38" t="s">
        <v>829</v>
      </c>
      <c r="F116" s="38" t="s">
        <v>348</v>
      </c>
      <c r="G116" s="38" t="s">
        <v>337</v>
      </c>
      <c r="H116" s="38" t="s">
        <v>344</v>
      </c>
    </row>
    <row r="117" customFormat="false" ht="12.75" hidden="false" customHeight="true" outlineLevel="0" collapsed="false">
      <c r="A117" s="39" t="s">
        <v>330</v>
      </c>
      <c r="B117" s="39" t="s">
        <v>476</v>
      </c>
      <c r="C117" s="39" t="s">
        <v>841</v>
      </c>
      <c r="D117" s="39" t="s">
        <v>825</v>
      </c>
      <c r="E117" s="39" t="s">
        <v>829</v>
      </c>
      <c r="F117" s="39" t="s">
        <v>348</v>
      </c>
      <c r="G117" s="39" t="s">
        <v>337</v>
      </c>
      <c r="H117" s="39" t="s">
        <v>344</v>
      </c>
    </row>
    <row r="118" customFormat="false" ht="12.75" hidden="false" customHeight="true" outlineLevel="0" collapsed="false">
      <c r="A118" s="38" t="s">
        <v>330</v>
      </c>
      <c r="B118" s="38" t="s">
        <v>476</v>
      </c>
      <c r="C118" s="38" t="s">
        <v>657</v>
      </c>
      <c r="D118" s="38" t="s">
        <v>653</v>
      </c>
      <c r="E118" s="38" t="s">
        <v>392</v>
      </c>
      <c r="F118" s="38" t="s">
        <v>338</v>
      </c>
      <c r="G118" s="38" t="s">
        <v>383</v>
      </c>
      <c r="H118" s="38" t="s">
        <v>344</v>
      </c>
    </row>
    <row r="119" customFormat="false" ht="12.75" hidden="false" customHeight="true" outlineLevel="0" collapsed="false">
      <c r="A119" s="39" t="s">
        <v>330</v>
      </c>
      <c r="B119" s="39" t="s">
        <v>476</v>
      </c>
      <c r="C119" s="39" t="s">
        <v>661</v>
      </c>
      <c r="D119" s="39" t="s">
        <v>653</v>
      </c>
      <c r="E119" s="39" t="s">
        <v>483</v>
      </c>
      <c r="F119" s="39" t="s">
        <v>338</v>
      </c>
      <c r="G119" s="39" t="s">
        <v>383</v>
      </c>
      <c r="H119" s="39" t="s">
        <v>344</v>
      </c>
    </row>
    <row r="120" customFormat="false" ht="12.75" hidden="false" customHeight="true" outlineLevel="0" collapsed="false">
      <c r="A120" s="38" t="s">
        <v>330</v>
      </c>
      <c r="B120" s="38" t="s">
        <v>476</v>
      </c>
      <c r="C120" s="38" t="s">
        <v>663</v>
      </c>
      <c r="D120" s="38" t="s">
        <v>653</v>
      </c>
      <c r="E120" s="38" t="s">
        <v>483</v>
      </c>
      <c r="F120" s="38" t="s">
        <v>338</v>
      </c>
      <c r="G120" s="38" t="s">
        <v>383</v>
      </c>
      <c r="H120" s="38" t="s">
        <v>344</v>
      </c>
    </row>
    <row r="121" customFormat="false" ht="12.75" hidden="false" customHeight="true" outlineLevel="0" collapsed="false">
      <c r="A121" s="39" t="s">
        <v>330</v>
      </c>
      <c r="B121" s="39" t="s">
        <v>476</v>
      </c>
      <c r="C121" s="39" t="s">
        <v>736</v>
      </c>
      <c r="D121" s="39" t="s">
        <v>653</v>
      </c>
      <c r="E121" s="39" t="s">
        <v>483</v>
      </c>
      <c r="F121" s="39" t="s">
        <v>338</v>
      </c>
      <c r="G121" s="39" t="s">
        <v>383</v>
      </c>
      <c r="H121" s="39" t="s">
        <v>344</v>
      </c>
    </row>
    <row r="122" customFormat="false" ht="12.75" hidden="false" customHeight="true" outlineLevel="0" collapsed="false">
      <c r="A122" s="38" t="s">
        <v>330</v>
      </c>
      <c r="B122" s="38" t="s">
        <v>476</v>
      </c>
      <c r="C122" s="38" t="s">
        <v>774</v>
      </c>
      <c r="D122" s="38" t="s">
        <v>653</v>
      </c>
      <c r="E122" s="38" t="s">
        <v>581</v>
      </c>
      <c r="F122" s="38" t="s">
        <v>348</v>
      </c>
      <c r="G122" s="38" t="s">
        <v>383</v>
      </c>
      <c r="H122" s="38" t="s">
        <v>344</v>
      </c>
    </row>
    <row r="123" customFormat="false" ht="12.75" hidden="false" customHeight="true" outlineLevel="0" collapsed="false">
      <c r="A123" s="39" t="s">
        <v>330</v>
      </c>
      <c r="B123" s="39" t="s">
        <v>476</v>
      </c>
      <c r="C123" s="39" t="s">
        <v>803</v>
      </c>
      <c r="D123" s="39" t="s">
        <v>653</v>
      </c>
      <c r="E123" s="39" t="s">
        <v>392</v>
      </c>
      <c r="F123" s="39" t="s">
        <v>348</v>
      </c>
      <c r="G123" s="39" t="s">
        <v>383</v>
      </c>
      <c r="H123" s="39" t="s">
        <v>344</v>
      </c>
    </row>
    <row r="124" customFormat="false" ht="12.75" hidden="false" customHeight="true" outlineLevel="0" collapsed="false">
      <c r="A124" s="38" t="s">
        <v>330</v>
      </c>
      <c r="B124" s="38" t="s">
        <v>476</v>
      </c>
      <c r="C124" s="38" t="s">
        <v>822</v>
      </c>
      <c r="D124" s="38" t="s">
        <v>653</v>
      </c>
      <c r="E124" s="38" t="s">
        <v>483</v>
      </c>
      <c r="F124" s="38" t="s">
        <v>348</v>
      </c>
      <c r="G124" s="38" t="s">
        <v>383</v>
      </c>
      <c r="H124" s="38" t="s">
        <v>344</v>
      </c>
    </row>
    <row r="125" customFormat="false" ht="12.75" hidden="false" customHeight="true" outlineLevel="0" collapsed="false">
      <c r="A125" s="39" t="s">
        <v>330</v>
      </c>
      <c r="B125" s="39" t="s">
        <v>476</v>
      </c>
      <c r="C125" s="39" t="s">
        <v>462</v>
      </c>
      <c r="D125" s="39" t="s">
        <v>446</v>
      </c>
      <c r="E125" s="39" t="s">
        <v>447</v>
      </c>
      <c r="F125" s="39" t="s">
        <v>338</v>
      </c>
      <c r="G125" s="39" t="s">
        <v>337</v>
      </c>
      <c r="H125" s="39" t="s">
        <v>344</v>
      </c>
    </row>
    <row r="126" customFormat="false" ht="12.75" hidden="false" customHeight="true" outlineLevel="0" collapsed="false">
      <c r="A126" s="38" t="s">
        <v>330</v>
      </c>
      <c r="B126" s="38" t="s">
        <v>476</v>
      </c>
      <c r="C126" s="38" t="s">
        <v>473</v>
      </c>
      <c r="D126" s="38" t="s">
        <v>446</v>
      </c>
      <c r="E126" s="38" t="s">
        <v>474</v>
      </c>
      <c r="F126" s="38" t="s">
        <v>338</v>
      </c>
      <c r="G126" s="38" t="s">
        <v>337</v>
      </c>
      <c r="H126" s="38" t="s">
        <v>344</v>
      </c>
    </row>
    <row r="127" customFormat="false" ht="12.75" hidden="false" customHeight="true" outlineLevel="0" collapsed="false">
      <c r="A127" s="39" t="s">
        <v>330</v>
      </c>
      <c r="B127" s="39" t="s">
        <v>476</v>
      </c>
      <c r="C127" s="39" t="s">
        <v>510</v>
      </c>
      <c r="D127" s="39" t="s">
        <v>446</v>
      </c>
      <c r="E127" s="39" t="s">
        <v>483</v>
      </c>
      <c r="F127" s="39" t="s">
        <v>338</v>
      </c>
      <c r="G127" s="39" t="s">
        <v>337</v>
      </c>
      <c r="H127" s="39" t="s">
        <v>344</v>
      </c>
    </row>
    <row r="128" customFormat="false" ht="12.75" hidden="false" customHeight="true" outlineLevel="0" collapsed="false">
      <c r="A128" s="38" t="s">
        <v>330</v>
      </c>
      <c r="B128" s="38" t="s">
        <v>476</v>
      </c>
      <c r="C128" s="38" t="s">
        <v>513</v>
      </c>
      <c r="D128" s="38" t="s">
        <v>446</v>
      </c>
      <c r="E128" s="38" t="s">
        <v>488</v>
      </c>
      <c r="F128" s="38" t="s">
        <v>338</v>
      </c>
      <c r="G128" s="38" t="s">
        <v>337</v>
      </c>
      <c r="H128" s="38" t="s">
        <v>344</v>
      </c>
    </row>
    <row r="129" customFormat="false" ht="12.75" hidden="false" customHeight="true" outlineLevel="0" collapsed="false">
      <c r="A129" s="39" t="s">
        <v>330</v>
      </c>
      <c r="B129" s="39" t="s">
        <v>476</v>
      </c>
      <c r="C129" s="39" t="s">
        <v>518</v>
      </c>
      <c r="D129" s="39" t="s">
        <v>446</v>
      </c>
      <c r="E129" s="39" t="s">
        <v>447</v>
      </c>
      <c r="F129" s="39" t="s">
        <v>338</v>
      </c>
      <c r="G129" s="39" t="s">
        <v>337</v>
      </c>
      <c r="H129" s="39" t="s">
        <v>344</v>
      </c>
    </row>
    <row r="130" customFormat="false" ht="12.75" hidden="false" customHeight="true" outlineLevel="0" collapsed="false">
      <c r="A130" s="38" t="s">
        <v>330</v>
      </c>
      <c r="B130" s="38" t="s">
        <v>476</v>
      </c>
      <c r="C130" s="38" t="s">
        <v>524</v>
      </c>
      <c r="D130" s="38" t="s">
        <v>446</v>
      </c>
      <c r="E130" s="38" t="s">
        <v>474</v>
      </c>
      <c r="F130" s="38" t="s">
        <v>338</v>
      </c>
      <c r="G130" s="38" t="s">
        <v>337</v>
      </c>
      <c r="H130" s="38" t="s">
        <v>344</v>
      </c>
    </row>
    <row r="131" customFormat="false" ht="12.75" hidden="false" customHeight="true" outlineLevel="0" collapsed="false">
      <c r="A131" s="39" t="s">
        <v>330</v>
      </c>
      <c r="B131" s="39" t="s">
        <v>476</v>
      </c>
      <c r="C131" s="39" t="s">
        <v>535</v>
      </c>
      <c r="D131" s="39" t="s">
        <v>446</v>
      </c>
      <c r="E131" s="39" t="s">
        <v>483</v>
      </c>
      <c r="F131" s="39" t="s">
        <v>338</v>
      </c>
      <c r="G131" s="39" t="s">
        <v>337</v>
      </c>
      <c r="H131" s="39" t="s">
        <v>344</v>
      </c>
    </row>
    <row r="132" customFormat="false" ht="12.75" hidden="false" customHeight="true" outlineLevel="0" collapsed="false">
      <c r="A132" s="38" t="s">
        <v>330</v>
      </c>
      <c r="B132" s="38" t="s">
        <v>476</v>
      </c>
      <c r="C132" s="38" t="s">
        <v>575</v>
      </c>
      <c r="D132" s="38" t="s">
        <v>571</v>
      </c>
      <c r="E132" s="38" t="s">
        <v>447</v>
      </c>
      <c r="F132" s="38" t="s">
        <v>348</v>
      </c>
      <c r="G132" s="38" t="s">
        <v>337</v>
      </c>
      <c r="H132" s="38" t="s">
        <v>344</v>
      </c>
    </row>
    <row r="133" customFormat="false" ht="12.75" hidden="false" customHeight="true" outlineLevel="0" collapsed="false">
      <c r="A133" s="39" t="s">
        <v>330</v>
      </c>
      <c r="B133" s="39" t="s">
        <v>476</v>
      </c>
      <c r="C133" s="39" t="s">
        <v>950</v>
      </c>
      <c r="D133" s="39" t="s">
        <v>922</v>
      </c>
      <c r="E133" s="39" t="s">
        <v>488</v>
      </c>
      <c r="F133" s="39" t="s">
        <v>906</v>
      </c>
      <c r="G133" s="39" t="s">
        <v>925</v>
      </c>
      <c r="H133" s="39" t="s">
        <v>344</v>
      </c>
    </row>
    <row r="134" customFormat="false" ht="12.75" hidden="false" customHeight="true" outlineLevel="0" collapsed="false">
      <c r="A134" s="38" t="s">
        <v>330</v>
      </c>
      <c r="B134" s="38" t="s">
        <v>342</v>
      </c>
      <c r="C134" s="38" t="s">
        <v>334</v>
      </c>
      <c r="D134" s="38" t="s">
        <v>335</v>
      </c>
      <c r="E134" s="38" t="s">
        <v>340</v>
      </c>
      <c r="F134" s="38" t="s">
        <v>338</v>
      </c>
      <c r="G134" s="38" t="s">
        <v>337</v>
      </c>
      <c r="H134" s="38" t="s">
        <v>344</v>
      </c>
    </row>
    <row r="135" customFormat="false" ht="12.75" hidden="false" customHeight="true" outlineLevel="0" collapsed="false">
      <c r="A135" s="39" t="s">
        <v>330</v>
      </c>
      <c r="B135" s="39" t="s">
        <v>342</v>
      </c>
      <c r="C135" s="39" t="s">
        <v>345</v>
      </c>
      <c r="D135" s="39" t="s">
        <v>335</v>
      </c>
      <c r="E135" s="39" t="s">
        <v>340</v>
      </c>
      <c r="F135" s="39" t="s">
        <v>338</v>
      </c>
      <c r="G135" s="39" t="s">
        <v>337</v>
      </c>
      <c r="H135" s="39" t="s">
        <v>344</v>
      </c>
    </row>
    <row r="136" customFormat="false" ht="12.75" hidden="false" customHeight="true" outlineLevel="0" collapsed="false">
      <c r="A136" s="38" t="s">
        <v>330</v>
      </c>
      <c r="B136" s="38" t="s">
        <v>342</v>
      </c>
      <c r="C136" s="38" t="s">
        <v>347</v>
      </c>
      <c r="D136" s="38" t="s">
        <v>335</v>
      </c>
      <c r="E136" s="38" t="s">
        <v>340</v>
      </c>
      <c r="F136" s="38" t="s">
        <v>348</v>
      </c>
      <c r="G136" s="38" t="s">
        <v>337</v>
      </c>
      <c r="H136" s="38" t="s">
        <v>344</v>
      </c>
    </row>
    <row r="137" customFormat="false" ht="12.75" hidden="false" customHeight="true" outlineLevel="0" collapsed="false">
      <c r="A137" s="39" t="s">
        <v>330</v>
      </c>
      <c r="B137" s="39" t="s">
        <v>342</v>
      </c>
      <c r="C137" s="39" t="s">
        <v>350</v>
      </c>
      <c r="D137" s="39" t="s">
        <v>335</v>
      </c>
      <c r="E137" s="39" t="s">
        <v>340</v>
      </c>
      <c r="F137" s="39" t="s">
        <v>348</v>
      </c>
      <c r="G137" s="39" t="s">
        <v>337</v>
      </c>
      <c r="H137" s="39" t="s">
        <v>344</v>
      </c>
    </row>
    <row r="138" customFormat="false" ht="12.75" hidden="false" customHeight="true" outlineLevel="0" collapsed="false">
      <c r="A138" s="38" t="s">
        <v>330</v>
      </c>
      <c r="B138" s="38" t="s">
        <v>342</v>
      </c>
      <c r="C138" s="38" t="s">
        <v>352</v>
      </c>
      <c r="D138" s="38" t="s">
        <v>335</v>
      </c>
      <c r="E138" s="38" t="s">
        <v>340</v>
      </c>
      <c r="F138" s="38" t="s">
        <v>338</v>
      </c>
      <c r="G138" s="38" t="s">
        <v>337</v>
      </c>
      <c r="H138" s="38" t="s">
        <v>344</v>
      </c>
    </row>
    <row r="139" customFormat="false" ht="12.75" hidden="false" customHeight="true" outlineLevel="0" collapsed="false">
      <c r="A139" s="39" t="s">
        <v>330</v>
      </c>
      <c r="B139" s="39" t="s">
        <v>342</v>
      </c>
      <c r="C139" s="39" t="s">
        <v>354</v>
      </c>
      <c r="D139" s="39" t="s">
        <v>335</v>
      </c>
      <c r="E139" s="39" t="s">
        <v>355</v>
      </c>
      <c r="F139" s="39" t="s">
        <v>338</v>
      </c>
      <c r="G139" s="39" t="s">
        <v>337</v>
      </c>
      <c r="H139" s="39" t="s">
        <v>344</v>
      </c>
    </row>
    <row r="140" customFormat="false" ht="12.75" hidden="false" customHeight="true" outlineLevel="0" collapsed="false">
      <c r="A140" s="38" t="s">
        <v>330</v>
      </c>
      <c r="B140" s="38" t="s">
        <v>342</v>
      </c>
      <c r="C140" s="38" t="s">
        <v>844</v>
      </c>
      <c r="D140" s="38" t="s">
        <v>845</v>
      </c>
      <c r="E140" s="38" t="s">
        <v>846</v>
      </c>
      <c r="F140" s="38" t="s">
        <v>338</v>
      </c>
      <c r="G140" s="38" t="s">
        <v>359</v>
      </c>
      <c r="H140" s="38" t="s">
        <v>344</v>
      </c>
    </row>
    <row r="141" customFormat="false" ht="12.75" hidden="false" customHeight="true" outlineLevel="0" collapsed="false">
      <c r="A141" s="39" t="s">
        <v>330</v>
      </c>
      <c r="B141" s="39" t="s">
        <v>342</v>
      </c>
      <c r="C141" s="39" t="s">
        <v>849</v>
      </c>
      <c r="D141" s="39" t="s">
        <v>845</v>
      </c>
      <c r="E141" s="39" t="s">
        <v>846</v>
      </c>
      <c r="F141" s="39" t="s">
        <v>338</v>
      </c>
      <c r="G141" s="39" t="s">
        <v>359</v>
      </c>
      <c r="H141" s="39" t="s">
        <v>344</v>
      </c>
    </row>
    <row r="142" customFormat="false" ht="12.75" hidden="false" customHeight="true" outlineLevel="0" collapsed="false">
      <c r="A142" s="38" t="s">
        <v>330</v>
      </c>
      <c r="B142" s="38" t="s">
        <v>342</v>
      </c>
      <c r="C142" s="38" t="s">
        <v>851</v>
      </c>
      <c r="D142" s="38" t="s">
        <v>845</v>
      </c>
      <c r="E142" s="38" t="s">
        <v>846</v>
      </c>
      <c r="F142" s="38" t="s">
        <v>338</v>
      </c>
      <c r="G142" s="38" t="s">
        <v>359</v>
      </c>
      <c r="H142" s="38" t="s">
        <v>344</v>
      </c>
    </row>
    <row r="143" customFormat="false" ht="12.75" hidden="false" customHeight="true" outlineLevel="0" collapsed="false">
      <c r="A143" s="39" t="s">
        <v>330</v>
      </c>
      <c r="B143" s="39" t="s">
        <v>342</v>
      </c>
      <c r="C143" s="39" t="s">
        <v>358</v>
      </c>
      <c r="D143" s="39" t="s">
        <v>335</v>
      </c>
      <c r="E143" s="39" t="s">
        <v>355</v>
      </c>
      <c r="F143" s="39" t="s">
        <v>338</v>
      </c>
      <c r="G143" s="39" t="s">
        <v>359</v>
      </c>
      <c r="H143" s="39" t="s">
        <v>344</v>
      </c>
    </row>
    <row r="144" customFormat="false" ht="12.75" hidden="false" customHeight="true" outlineLevel="0" collapsed="false">
      <c r="A144" s="38" t="s">
        <v>330</v>
      </c>
      <c r="B144" s="38" t="s">
        <v>342</v>
      </c>
      <c r="C144" s="38" t="s">
        <v>362</v>
      </c>
      <c r="D144" s="38" t="s">
        <v>335</v>
      </c>
      <c r="E144" s="38" t="s">
        <v>366</v>
      </c>
      <c r="F144" s="38" t="s">
        <v>338</v>
      </c>
      <c r="G144" s="38" t="s">
        <v>364</v>
      </c>
      <c r="H144" s="38" t="s">
        <v>344</v>
      </c>
    </row>
    <row r="145" customFormat="false" ht="12.75" hidden="false" customHeight="true" outlineLevel="0" collapsed="false">
      <c r="A145" s="39" t="s">
        <v>330</v>
      </c>
      <c r="B145" s="39" t="s">
        <v>342</v>
      </c>
      <c r="C145" s="39" t="s">
        <v>373</v>
      </c>
      <c r="D145" s="39" t="s">
        <v>335</v>
      </c>
      <c r="E145" s="39" t="s">
        <v>355</v>
      </c>
      <c r="F145" s="39" t="s">
        <v>338</v>
      </c>
      <c r="G145" s="39" t="s">
        <v>337</v>
      </c>
      <c r="H145" s="39" t="s">
        <v>344</v>
      </c>
    </row>
    <row r="146" customFormat="false" ht="12.75" hidden="false" customHeight="true" outlineLevel="0" collapsed="false">
      <c r="A146" s="38" t="s">
        <v>330</v>
      </c>
      <c r="B146" s="38" t="s">
        <v>342</v>
      </c>
      <c r="C146" s="38" t="s">
        <v>382</v>
      </c>
      <c r="D146" s="38" t="s">
        <v>335</v>
      </c>
      <c r="E146" s="38" t="s">
        <v>355</v>
      </c>
      <c r="F146" s="38" t="s">
        <v>338</v>
      </c>
      <c r="G146" s="38" t="s">
        <v>383</v>
      </c>
      <c r="H146" s="38" t="s">
        <v>344</v>
      </c>
    </row>
    <row r="147" customFormat="false" ht="12.75" hidden="false" customHeight="true" outlineLevel="0" collapsed="false">
      <c r="A147" s="39" t="s">
        <v>330</v>
      </c>
      <c r="B147" s="39" t="s">
        <v>342</v>
      </c>
      <c r="C147" s="39" t="s">
        <v>386</v>
      </c>
      <c r="D147" s="39" t="s">
        <v>335</v>
      </c>
      <c r="E147" s="39" t="s">
        <v>355</v>
      </c>
      <c r="F147" s="39" t="s">
        <v>338</v>
      </c>
      <c r="G147" s="39" t="s">
        <v>337</v>
      </c>
      <c r="H147" s="39" t="s">
        <v>344</v>
      </c>
    </row>
    <row r="148" customFormat="false" ht="12.75" hidden="false" customHeight="true" outlineLevel="0" collapsed="false">
      <c r="A148" s="38" t="s">
        <v>330</v>
      </c>
      <c r="B148" s="38" t="s">
        <v>342</v>
      </c>
      <c r="C148" s="38" t="s">
        <v>290</v>
      </c>
      <c r="D148" s="38" t="s">
        <v>653</v>
      </c>
      <c r="E148" s="38" t="s">
        <v>392</v>
      </c>
      <c r="F148" s="38" t="s">
        <v>338</v>
      </c>
      <c r="G148" s="38" t="s">
        <v>383</v>
      </c>
      <c r="H148" s="38" t="s">
        <v>344</v>
      </c>
    </row>
    <row r="149" customFormat="false" ht="12.75" hidden="false" customHeight="true" outlineLevel="0" collapsed="false">
      <c r="A149" s="39" t="s">
        <v>330</v>
      </c>
      <c r="B149" s="39" t="s">
        <v>342</v>
      </c>
      <c r="C149" s="39" t="s">
        <v>672</v>
      </c>
      <c r="D149" s="39" t="s">
        <v>653</v>
      </c>
      <c r="E149" s="39" t="s">
        <v>392</v>
      </c>
      <c r="F149" s="39" t="s">
        <v>338</v>
      </c>
      <c r="G149" s="39" t="s">
        <v>383</v>
      </c>
      <c r="H149" s="39" t="s">
        <v>344</v>
      </c>
    </row>
    <row r="150" customFormat="false" ht="12.75" hidden="false" customHeight="true" outlineLevel="0" collapsed="false">
      <c r="A150" s="38" t="s">
        <v>330</v>
      </c>
      <c r="B150" s="38" t="s">
        <v>342</v>
      </c>
      <c r="C150" s="38" t="s">
        <v>675</v>
      </c>
      <c r="D150" s="38" t="s">
        <v>653</v>
      </c>
      <c r="E150" s="38" t="s">
        <v>355</v>
      </c>
      <c r="F150" s="38" t="s">
        <v>338</v>
      </c>
      <c r="G150" s="38" t="s">
        <v>383</v>
      </c>
      <c r="H150" s="38" t="s">
        <v>344</v>
      </c>
    </row>
    <row r="151" customFormat="false" ht="12.75" hidden="false" customHeight="true" outlineLevel="0" collapsed="false">
      <c r="A151" s="39" t="s">
        <v>330</v>
      </c>
      <c r="B151" s="39" t="s">
        <v>342</v>
      </c>
      <c r="C151" s="39" t="s">
        <v>692</v>
      </c>
      <c r="D151" s="39" t="s">
        <v>653</v>
      </c>
      <c r="E151" s="39" t="s">
        <v>355</v>
      </c>
      <c r="F151" s="39" t="s">
        <v>338</v>
      </c>
      <c r="G151" s="39" t="s">
        <v>383</v>
      </c>
      <c r="H151" s="39" t="s">
        <v>344</v>
      </c>
    </row>
    <row r="152" customFormat="false" ht="12.75" hidden="false" customHeight="true" outlineLevel="0" collapsed="false">
      <c r="A152" s="38" t="s">
        <v>330</v>
      </c>
      <c r="B152" s="38" t="s">
        <v>342</v>
      </c>
      <c r="C152" s="38" t="s">
        <v>390</v>
      </c>
      <c r="D152" s="38" t="s">
        <v>335</v>
      </c>
      <c r="E152" s="38" t="s">
        <v>392</v>
      </c>
      <c r="F152" s="38" t="s">
        <v>338</v>
      </c>
      <c r="G152" s="38" t="s">
        <v>383</v>
      </c>
      <c r="H152" s="38" t="s">
        <v>344</v>
      </c>
    </row>
    <row r="153" customFormat="false" ht="12.75" hidden="false" customHeight="true" outlineLevel="0" collapsed="false">
      <c r="A153" s="39" t="s">
        <v>330</v>
      </c>
      <c r="B153" s="39" t="s">
        <v>342</v>
      </c>
      <c r="C153" s="39" t="s">
        <v>728</v>
      </c>
      <c r="D153" s="39" t="s">
        <v>653</v>
      </c>
      <c r="E153" s="39" t="s">
        <v>392</v>
      </c>
      <c r="F153" s="39" t="s">
        <v>338</v>
      </c>
      <c r="G153" s="39" t="s">
        <v>383</v>
      </c>
      <c r="H153" s="39" t="s">
        <v>344</v>
      </c>
    </row>
    <row r="154" customFormat="false" ht="12.75" hidden="false" customHeight="true" outlineLevel="0" collapsed="false">
      <c r="A154" s="38" t="s">
        <v>330</v>
      </c>
      <c r="B154" s="38" t="s">
        <v>342</v>
      </c>
      <c r="C154" s="38" t="s">
        <v>738</v>
      </c>
      <c r="D154" s="38" t="s">
        <v>653</v>
      </c>
      <c r="E154" s="38" t="s">
        <v>392</v>
      </c>
      <c r="F154" s="38" t="s">
        <v>338</v>
      </c>
      <c r="G154" s="38" t="s">
        <v>383</v>
      </c>
      <c r="H154" s="38" t="s">
        <v>344</v>
      </c>
    </row>
    <row r="155" customFormat="false" ht="12.75" hidden="false" customHeight="true" outlineLevel="0" collapsed="false">
      <c r="A155" s="39" t="s">
        <v>330</v>
      </c>
      <c r="B155" s="39" t="s">
        <v>342</v>
      </c>
      <c r="C155" s="39" t="s">
        <v>395</v>
      </c>
      <c r="D155" s="39" t="s">
        <v>335</v>
      </c>
      <c r="E155" s="39" t="s">
        <v>392</v>
      </c>
      <c r="F155" s="39" t="s">
        <v>338</v>
      </c>
      <c r="G155" s="39" t="s">
        <v>383</v>
      </c>
      <c r="H155" s="39" t="s">
        <v>344</v>
      </c>
    </row>
    <row r="156" customFormat="false" ht="12.75" hidden="false" customHeight="true" outlineLevel="0" collapsed="false">
      <c r="A156" s="38" t="s">
        <v>330</v>
      </c>
      <c r="B156" s="38" t="s">
        <v>342</v>
      </c>
      <c r="C156" s="38" t="s">
        <v>60</v>
      </c>
      <c r="D156" s="38" t="s">
        <v>653</v>
      </c>
      <c r="E156" s="38" t="s">
        <v>648</v>
      </c>
      <c r="F156" s="38" t="s">
        <v>348</v>
      </c>
      <c r="G156" s="38" t="s">
        <v>383</v>
      </c>
      <c r="H156" s="38" t="s">
        <v>344</v>
      </c>
    </row>
    <row r="157" customFormat="false" ht="12.75" hidden="false" customHeight="true" outlineLevel="0" collapsed="false">
      <c r="A157" s="39" t="s">
        <v>330</v>
      </c>
      <c r="B157" s="39" t="s">
        <v>342</v>
      </c>
      <c r="C157" s="39" t="s">
        <v>68</v>
      </c>
      <c r="D157" s="39" t="s">
        <v>653</v>
      </c>
      <c r="E157" s="39" t="s">
        <v>648</v>
      </c>
      <c r="F157" s="39" t="s">
        <v>348</v>
      </c>
      <c r="G157" s="39" t="s">
        <v>383</v>
      </c>
      <c r="H157" s="39" t="s">
        <v>344</v>
      </c>
    </row>
    <row r="158" customFormat="false" ht="12.75" hidden="false" customHeight="true" outlineLevel="0" collapsed="false">
      <c r="A158" s="38" t="s">
        <v>330</v>
      </c>
      <c r="B158" s="38" t="s">
        <v>342</v>
      </c>
      <c r="C158" s="38" t="s">
        <v>761</v>
      </c>
      <c r="D158" s="38" t="s">
        <v>653</v>
      </c>
      <c r="E158" s="38" t="s">
        <v>355</v>
      </c>
      <c r="F158" s="38" t="s">
        <v>348</v>
      </c>
      <c r="G158" s="38" t="s">
        <v>383</v>
      </c>
      <c r="H158" s="38" t="s">
        <v>344</v>
      </c>
    </row>
    <row r="159" customFormat="false" ht="12.75" hidden="false" customHeight="true" outlineLevel="0" collapsed="false">
      <c r="A159" s="39" t="s">
        <v>330</v>
      </c>
      <c r="B159" s="39" t="s">
        <v>342</v>
      </c>
      <c r="C159" s="39" t="s">
        <v>770</v>
      </c>
      <c r="D159" s="39" t="s">
        <v>653</v>
      </c>
      <c r="E159" s="39" t="s">
        <v>392</v>
      </c>
      <c r="F159" s="39" t="s">
        <v>348</v>
      </c>
      <c r="G159" s="39" t="s">
        <v>383</v>
      </c>
      <c r="H159" s="39" t="s">
        <v>344</v>
      </c>
    </row>
    <row r="160" customFormat="false" ht="12.75" hidden="false" customHeight="true" outlineLevel="0" collapsed="false">
      <c r="A160" s="38" t="s">
        <v>330</v>
      </c>
      <c r="B160" s="38" t="s">
        <v>342</v>
      </c>
      <c r="C160" s="38" t="s">
        <v>783</v>
      </c>
      <c r="D160" s="38" t="s">
        <v>653</v>
      </c>
      <c r="E160" s="38" t="s">
        <v>340</v>
      </c>
      <c r="F160" s="38" t="s">
        <v>348</v>
      </c>
      <c r="G160" s="38" t="s">
        <v>383</v>
      </c>
      <c r="H160" s="38" t="s">
        <v>344</v>
      </c>
    </row>
    <row r="161" customFormat="false" ht="12.75" hidden="false" customHeight="true" outlineLevel="0" collapsed="false">
      <c r="A161" s="39" t="s">
        <v>330</v>
      </c>
      <c r="B161" s="39" t="s">
        <v>342</v>
      </c>
      <c r="C161" s="39" t="s">
        <v>787</v>
      </c>
      <c r="D161" s="39" t="s">
        <v>653</v>
      </c>
      <c r="E161" s="39" t="s">
        <v>392</v>
      </c>
      <c r="F161" s="39" t="s">
        <v>348</v>
      </c>
      <c r="G161" s="39" t="s">
        <v>383</v>
      </c>
      <c r="H161" s="39" t="s">
        <v>344</v>
      </c>
    </row>
    <row r="162" customFormat="false" ht="12.75" hidden="false" customHeight="true" outlineLevel="0" collapsed="false">
      <c r="A162" s="38" t="s">
        <v>330</v>
      </c>
      <c r="B162" s="38" t="s">
        <v>342</v>
      </c>
      <c r="C162" s="38" t="s">
        <v>813</v>
      </c>
      <c r="D162" s="38" t="s">
        <v>653</v>
      </c>
      <c r="E162" s="38" t="s">
        <v>392</v>
      </c>
      <c r="F162" s="38" t="s">
        <v>348</v>
      </c>
      <c r="G162" s="38" t="s">
        <v>383</v>
      </c>
      <c r="H162" s="38" t="s">
        <v>344</v>
      </c>
    </row>
    <row r="163" customFormat="false" ht="12.75" hidden="false" customHeight="true" outlineLevel="0" collapsed="false">
      <c r="A163" s="39" t="s">
        <v>330</v>
      </c>
      <c r="B163" s="39" t="s">
        <v>342</v>
      </c>
      <c r="C163" s="39" t="s">
        <v>397</v>
      </c>
      <c r="D163" s="39" t="s">
        <v>335</v>
      </c>
      <c r="E163" s="39" t="s">
        <v>340</v>
      </c>
      <c r="F163" s="39" t="s">
        <v>338</v>
      </c>
      <c r="G163" s="39" t="s">
        <v>337</v>
      </c>
      <c r="H163" s="39" t="s">
        <v>344</v>
      </c>
    </row>
    <row r="164" customFormat="false" ht="12.75" hidden="false" customHeight="true" outlineLevel="0" collapsed="false">
      <c r="A164" s="38" t="s">
        <v>330</v>
      </c>
      <c r="B164" s="38" t="s">
        <v>342</v>
      </c>
      <c r="C164" s="38" t="s">
        <v>401</v>
      </c>
      <c r="D164" s="38" t="s">
        <v>335</v>
      </c>
      <c r="E164" s="38" t="s">
        <v>340</v>
      </c>
      <c r="F164" s="38" t="s">
        <v>338</v>
      </c>
      <c r="G164" s="38" t="s">
        <v>337</v>
      </c>
      <c r="H164" s="38" t="s">
        <v>344</v>
      </c>
    </row>
    <row r="165" customFormat="false" ht="12.75" hidden="false" customHeight="true" outlineLevel="0" collapsed="false">
      <c r="A165" s="39" t="s">
        <v>330</v>
      </c>
      <c r="B165" s="39" t="s">
        <v>342</v>
      </c>
      <c r="C165" s="39" t="s">
        <v>405</v>
      </c>
      <c r="D165" s="39" t="s">
        <v>335</v>
      </c>
      <c r="E165" s="39" t="s">
        <v>340</v>
      </c>
      <c r="F165" s="39" t="s">
        <v>338</v>
      </c>
      <c r="G165" s="39" t="s">
        <v>337</v>
      </c>
      <c r="H165" s="39" t="s">
        <v>344</v>
      </c>
    </row>
    <row r="166" customFormat="false" ht="12.75" hidden="false" customHeight="true" outlineLevel="0" collapsed="false">
      <c r="A166" s="38" t="s">
        <v>330</v>
      </c>
      <c r="B166" s="38" t="s">
        <v>342</v>
      </c>
      <c r="C166" s="38" t="s">
        <v>409</v>
      </c>
      <c r="D166" s="38" t="s">
        <v>335</v>
      </c>
      <c r="E166" s="38" t="s">
        <v>340</v>
      </c>
      <c r="F166" s="38" t="s">
        <v>338</v>
      </c>
      <c r="G166" s="38" t="s">
        <v>337</v>
      </c>
      <c r="H166" s="38" t="s">
        <v>344</v>
      </c>
    </row>
    <row r="167" customFormat="false" ht="12.75" hidden="false" customHeight="true" outlineLevel="0" collapsed="false">
      <c r="A167" s="39" t="s">
        <v>330</v>
      </c>
      <c r="B167" s="39" t="s">
        <v>342</v>
      </c>
      <c r="C167" s="39" t="s">
        <v>413</v>
      </c>
      <c r="D167" s="39" t="s">
        <v>335</v>
      </c>
      <c r="E167" s="39" t="s">
        <v>340</v>
      </c>
      <c r="F167" s="39" t="s">
        <v>338</v>
      </c>
      <c r="G167" s="39" t="s">
        <v>337</v>
      </c>
      <c r="H167" s="39" t="s">
        <v>344</v>
      </c>
    </row>
    <row r="168" customFormat="false" ht="12.75" hidden="false" customHeight="true" outlineLevel="0" collapsed="false">
      <c r="A168" s="38" t="s">
        <v>330</v>
      </c>
      <c r="B168" s="38" t="s">
        <v>342</v>
      </c>
      <c r="C168" s="38" t="s">
        <v>417</v>
      </c>
      <c r="D168" s="38" t="s">
        <v>335</v>
      </c>
      <c r="E168" s="38" t="s">
        <v>340</v>
      </c>
      <c r="F168" s="38" t="s">
        <v>338</v>
      </c>
      <c r="G168" s="38" t="s">
        <v>337</v>
      </c>
      <c r="H168" s="38" t="s">
        <v>344</v>
      </c>
    </row>
    <row r="169" customFormat="false" ht="12.75" hidden="false" customHeight="true" outlineLevel="0" collapsed="false">
      <c r="A169" s="39" t="s">
        <v>330</v>
      </c>
      <c r="B169" s="39" t="s">
        <v>342</v>
      </c>
      <c r="C169" s="39" t="s">
        <v>422</v>
      </c>
      <c r="D169" s="39" t="s">
        <v>335</v>
      </c>
      <c r="E169" s="39" t="s">
        <v>340</v>
      </c>
      <c r="F169" s="39" t="s">
        <v>338</v>
      </c>
      <c r="G169" s="39" t="s">
        <v>337</v>
      </c>
      <c r="H169" s="39" t="s">
        <v>344</v>
      </c>
    </row>
    <row r="170" customFormat="false" ht="12.75" hidden="false" customHeight="true" outlineLevel="0" collapsed="false">
      <c r="A170" s="38" t="s">
        <v>330</v>
      </c>
      <c r="B170" s="38" t="s">
        <v>342</v>
      </c>
      <c r="C170" s="38" t="s">
        <v>430</v>
      </c>
      <c r="D170" s="38" t="s">
        <v>335</v>
      </c>
      <c r="E170" s="38" t="s">
        <v>340</v>
      </c>
      <c r="F170" s="38" t="s">
        <v>338</v>
      </c>
      <c r="G170" s="38" t="s">
        <v>337</v>
      </c>
      <c r="H170" s="38" t="s">
        <v>344</v>
      </c>
    </row>
    <row r="171" customFormat="false" ht="12.75" hidden="false" customHeight="true" outlineLevel="0" collapsed="false">
      <c r="A171" s="39" t="s">
        <v>330</v>
      </c>
      <c r="B171" s="39" t="s">
        <v>342</v>
      </c>
      <c r="C171" s="39" t="s">
        <v>434</v>
      </c>
      <c r="D171" s="39" t="s">
        <v>335</v>
      </c>
      <c r="E171" s="39" t="s">
        <v>340</v>
      </c>
      <c r="F171" s="39" t="s">
        <v>338</v>
      </c>
      <c r="G171" s="39" t="s">
        <v>337</v>
      </c>
      <c r="H171" s="39" t="s">
        <v>344</v>
      </c>
    </row>
    <row r="172" customFormat="false" ht="12.75" hidden="false" customHeight="true" outlineLevel="0" collapsed="false">
      <c r="A172" s="38" t="s">
        <v>330</v>
      </c>
      <c r="B172" s="38" t="s">
        <v>342</v>
      </c>
      <c r="C172" s="38" t="s">
        <v>437</v>
      </c>
      <c r="D172" s="38" t="s">
        <v>335</v>
      </c>
      <c r="E172" s="38" t="s">
        <v>340</v>
      </c>
      <c r="F172" s="38" t="s">
        <v>338</v>
      </c>
      <c r="G172" s="38" t="s">
        <v>337</v>
      </c>
      <c r="H172" s="38" t="s">
        <v>344</v>
      </c>
    </row>
    <row r="173" customFormat="false" ht="12.75" hidden="false" customHeight="true" outlineLevel="0" collapsed="false">
      <c r="A173" s="39" t="s">
        <v>330</v>
      </c>
      <c r="B173" s="39" t="s">
        <v>342</v>
      </c>
      <c r="C173" s="39" t="s">
        <v>442</v>
      </c>
      <c r="D173" s="39" t="s">
        <v>335</v>
      </c>
      <c r="E173" s="39" t="s">
        <v>355</v>
      </c>
      <c r="F173" s="39" t="s">
        <v>348</v>
      </c>
      <c r="G173" s="39" t="s">
        <v>337</v>
      </c>
      <c r="H173" s="39" t="s">
        <v>344</v>
      </c>
    </row>
    <row r="174" customFormat="false" ht="12.75" hidden="false" customHeight="true" outlineLevel="0" collapsed="false">
      <c r="A174" s="38" t="s">
        <v>330</v>
      </c>
      <c r="B174" s="38" t="s">
        <v>342</v>
      </c>
      <c r="C174" s="38" t="s">
        <v>874</v>
      </c>
      <c r="D174" s="38" t="s">
        <v>875</v>
      </c>
      <c r="E174" s="38" t="s">
        <v>340</v>
      </c>
      <c r="F174" s="38" t="s">
        <v>338</v>
      </c>
      <c r="G174" s="38" t="s">
        <v>876</v>
      </c>
      <c r="H174" s="38" t="s">
        <v>344</v>
      </c>
    </row>
    <row r="175" customFormat="false" ht="12.75" hidden="false" customHeight="true" outlineLevel="0" collapsed="false">
      <c r="A175" s="39" t="s">
        <v>330</v>
      </c>
      <c r="B175" s="39" t="s">
        <v>342</v>
      </c>
      <c r="C175" s="39" t="s">
        <v>878</v>
      </c>
      <c r="D175" s="39" t="s">
        <v>875</v>
      </c>
      <c r="E175" s="39" t="s">
        <v>340</v>
      </c>
      <c r="F175" s="39" t="s">
        <v>338</v>
      </c>
      <c r="G175" s="39" t="s">
        <v>876</v>
      </c>
      <c r="H175" s="39" t="s">
        <v>344</v>
      </c>
    </row>
    <row r="176" customFormat="false" ht="12.75" hidden="false" customHeight="true" outlineLevel="0" collapsed="false">
      <c r="A176" s="38" t="s">
        <v>330</v>
      </c>
      <c r="B176" s="38" t="s">
        <v>342</v>
      </c>
      <c r="C176" s="38" t="s">
        <v>881</v>
      </c>
      <c r="D176" s="38" t="s">
        <v>875</v>
      </c>
      <c r="E176" s="38" t="s">
        <v>340</v>
      </c>
      <c r="F176" s="38" t="s">
        <v>338</v>
      </c>
      <c r="G176" s="38" t="s">
        <v>876</v>
      </c>
      <c r="H176" s="38" t="s">
        <v>344</v>
      </c>
    </row>
    <row r="177" customFormat="false" ht="12.75" hidden="false" customHeight="true" outlineLevel="0" collapsed="false">
      <c r="A177" s="39" t="s">
        <v>330</v>
      </c>
      <c r="B177" s="39" t="s">
        <v>342</v>
      </c>
      <c r="C177" s="39" t="s">
        <v>883</v>
      </c>
      <c r="D177" s="39" t="s">
        <v>875</v>
      </c>
      <c r="E177" s="39" t="s">
        <v>340</v>
      </c>
      <c r="F177" s="39" t="s">
        <v>338</v>
      </c>
      <c r="G177" s="39" t="s">
        <v>876</v>
      </c>
      <c r="H177" s="39" t="s">
        <v>344</v>
      </c>
    </row>
    <row r="178" customFormat="false" ht="12.75" hidden="false" customHeight="true" outlineLevel="0" collapsed="false">
      <c r="A178" s="38" t="s">
        <v>330</v>
      </c>
      <c r="B178" s="38" t="s">
        <v>342</v>
      </c>
      <c r="C178" s="38" t="s">
        <v>885</v>
      </c>
      <c r="D178" s="38" t="s">
        <v>875</v>
      </c>
      <c r="E178" s="38" t="s">
        <v>340</v>
      </c>
      <c r="F178" s="38" t="s">
        <v>338</v>
      </c>
      <c r="G178" s="38" t="s">
        <v>876</v>
      </c>
      <c r="H178" s="38" t="s">
        <v>344</v>
      </c>
    </row>
    <row r="179" customFormat="false" ht="12.75" hidden="false" customHeight="true" outlineLevel="0" collapsed="false">
      <c r="A179" s="39" t="s">
        <v>330</v>
      </c>
      <c r="B179" s="39" t="s">
        <v>342</v>
      </c>
      <c r="C179" s="39" t="s">
        <v>887</v>
      </c>
      <c r="D179" s="39" t="s">
        <v>875</v>
      </c>
      <c r="E179" s="39" t="s">
        <v>340</v>
      </c>
      <c r="F179" s="39" t="s">
        <v>338</v>
      </c>
      <c r="G179" s="39" t="s">
        <v>876</v>
      </c>
      <c r="H179" s="39" t="s">
        <v>344</v>
      </c>
    </row>
    <row r="180" customFormat="false" ht="12.75" hidden="false" customHeight="true" outlineLevel="0" collapsed="false">
      <c r="A180" s="38" t="s">
        <v>330</v>
      </c>
      <c r="B180" s="38" t="s">
        <v>342</v>
      </c>
      <c r="C180" s="38" t="s">
        <v>889</v>
      </c>
      <c r="D180" s="38" t="s">
        <v>875</v>
      </c>
      <c r="E180" s="38" t="s">
        <v>340</v>
      </c>
      <c r="F180" s="38" t="s">
        <v>338</v>
      </c>
      <c r="G180" s="38" t="s">
        <v>876</v>
      </c>
      <c r="H180" s="38" t="s">
        <v>344</v>
      </c>
    </row>
    <row r="181" customFormat="false" ht="12.75" hidden="false" customHeight="true" outlineLevel="0" collapsed="false">
      <c r="A181" s="39" t="s">
        <v>330</v>
      </c>
      <c r="B181" s="39" t="s">
        <v>342</v>
      </c>
      <c r="C181" s="39" t="s">
        <v>891</v>
      </c>
      <c r="D181" s="39" t="s">
        <v>875</v>
      </c>
      <c r="E181" s="39" t="s">
        <v>340</v>
      </c>
      <c r="F181" s="39" t="s">
        <v>338</v>
      </c>
      <c r="G181" s="39" t="s">
        <v>876</v>
      </c>
      <c r="H181" s="39" t="s">
        <v>344</v>
      </c>
    </row>
    <row r="182" customFormat="false" ht="12.75" hidden="false" customHeight="true" outlineLevel="0" collapsed="false">
      <c r="A182" s="38" t="s">
        <v>330</v>
      </c>
      <c r="B182" s="38" t="s">
        <v>342</v>
      </c>
      <c r="C182" s="38" t="s">
        <v>893</v>
      </c>
      <c r="D182" s="38" t="s">
        <v>875</v>
      </c>
      <c r="E182" s="38" t="s">
        <v>340</v>
      </c>
      <c r="F182" s="38" t="s">
        <v>338</v>
      </c>
      <c r="G182" s="38" t="s">
        <v>876</v>
      </c>
      <c r="H182" s="38" t="s">
        <v>344</v>
      </c>
    </row>
    <row r="183" customFormat="false" ht="12.75" hidden="false" customHeight="true" outlineLevel="0" collapsed="false">
      <c r="A183" s="39" t="s">
        <v>330</v>
      </c>
      <c r="B183" s="39" t="s">
        <v>342</v>
      </c>
      <c r="C183" s="39" t="s">
        <v>895</v>
      </c>
      <c r="D183" s="39" t="s">
        <v>875</v>
      </c>
      <c r="E183" s="39" t="s">
        <v>340</v>
      </c>
      <c r="F183" s="39" t="s">
        <v>338</v>
      </c>
      <c r="G183" s="39" t="s">
        <v>876</v>
      </c>
      <c r="H183" s="39" t="s">
        <v>344</v>
      </c>
    </row>
    <row r="184" customFormat="false" ht="12.75" hidden="false" customHeight="true" outlineLevel="0" collapsed="false">
      <c r="A184" s="38" t="s">
        <v>330</v>
      </c>
      <c r="B184" s="38" t="s">
        <v>342</v>
      </c>
      <c r="C184" s="38" t="s">
        <v>897</v>
      </c>
      <c r="D184" s="38" t="s">
        <v>875</v>
      </c>
      <c r="E184" s="38" t="s">
        <v>340</v>
      </c>
      <c r="F184" s="38" t="s">
        <v>338</v>
      </c>
      <c r="G184" s="38" t="s">
        <v>876</v>
      </c>
      <c r="H184" s="38" t="s">
        <v>344</v>
      </c>
    </row>
    <row r="185" customFormat="false" ht="12.75" hidden="false" customHeight="true" outlineLevel="0" collapsed="false">
      <c r="A185" s="39" t="s">
        <v>330</v>
      </c>
      <c r="B185" s="39" t="s">
        <v>342</v>
      </c>
      <c r="C185" s="39" t="s">
        <v>899</v>
      </c>
      <c r="D185" s="39" t="s">
        <v>875</v>
      </c>
      <c r="E185" s="39" t="s">
        <v>340</v>
      </c>
      <c r="F185" s="39" t="s">
        <v>338</v>
      </c>
      <c r="G185" s="39" t="s">
        <v>876</v>
      </c>
      <c r="H185" s="39" t="s">
        <v>344</v>
      </c>
    </row>
    <row r="186" customFormat="false" ht="12.75" hidden="false" customHeight="true" outlineLevel="0" collapsed="false">
      <c r="A186" s="38" t="s">
        <v>330</v>
      </c>
      <c r="B186" s="38" t="s">
        <v>342</v>
      </c>
      <c r="C186" s="38" t="s">
        <v>901</v>
      </c>
      <c r="D186" s="38" t="s">
        <v>875</v>
      </c>
      <c r="E186" s="38" t="s">
        <v>340</v>
      </c>
      <c r="F186" s="38" t="s">
        <v>338</v>
      </c>
      <c r="G186" s="38" t="s">
        <v>876</v>
      </c>
      <c r="H186" s="38" t="s">
        <v>344</v>
      </c>
    </row>
    <row r="187" customFormat="false" ht="12.75" hidden="false" customHeight="true" outlineLevel="0" collapsed="false">
      <c r="A187" s="39" t="s">
        <v>330</v>
      </c>
      <c r="B187" s="39" t="s">
        <v>342</v>
      </c>
      <c r="C187" s="39" t="s">
        <v>903</v>
      </c>
      <c r="D187" s="39" t="s">
        <v>875</v>
      </c>
      <c r="E187" s="39" t="s">
        <v>340</v>
      </c>
      <c r="F187" s="39" t="s">
        <v>338</v>
      </c>
      <c r="G187" s="39" t="s">
        <v>876</v>
      </c>
      <c r="H187" s="39" t="s">
        <v>344</v>
      </c>
    </row>
    <row r="188" customFormat="false" ht="12.75" hidden="false" customHeight="true" outlineLevel="0" collapsed="false">
      <c r="A188" s="38" t="s">
        <v>330</v>
      </c>
      <c r="B188" s="38" t="s">
        <v>342</v>
      </c>
      <c r="C188" s="38" t="s">
        <v>905</v>
      </c>
      <c r="D188" s="38" t="s">
        <v>875</v>
      </c>
      <c r="E188" s="38" t="s">
        <v>340</v>
      </c>
      <c r="F188" s="38" t="s">
        <v>906</v>
      </c>
      <c r="G188" s="38" t="s">
        <v>876</v>
      </c>
      <c r="H188" s="38" t="s">
        <v>344</v>
      </c>
    </row>
    <row r="189" customFormat="false" ht="12.75" hidden="false" customHeight="true" outlineLevel="0" collapsed="false">
      <c r="A189" s="39" t="s">
        <v>330</v>
      </c>
      <c r="B189" s="39" t="s">
        <v>342</v>
      </c>
      <c r="C189" s="39" t="s">
        <v>909</v>
      </c>
      <c r="D189" s="39" t="s">
        <v>875</v>
      </c>
      <c r="E189" s="39" t="s">
        <v>340</v>
      </c>
      <c r="F189" s="39" t="s">
        <v>338</v>
      </c>
      <c r="G189" s="39" t="s">
        <v>876</v>
      </c>
      <c r="H189" s="39" t="s">
        <v>344</v>
      </c>
    </row>
    <row r="190" customFormat="false" ht="12.75" hidden="false" customHeight="true" outlineLevel="0" collapsed="false">
      <c r="A190" s="38" t="s">
        <v>330</v>
      </c>
      <c r="B190" s="38" t="s">
        <v>342</v>
      </c>
      <c r="C190" s="38" t="s">
        <v>911</v>
      </c>
      <c r="D190" s="38" t="s">
        <v>875</v>
      </c>
      <c r="E190" s="38" t="s">
        <v>355</v>
      </c>
      <c r="F190" s="38" t="s">
        <v>338</v>
      </c>
      <c r="G190" s="38" t="s">
        <v>876</v>
      </c>
      <c r="H190" s="38" t="s">
        <v>344</v>
      </c>
    </row>
    <row r="191" customFormat="false" ht="12.75" hidden="false" customHeight="true" outlineLevel="0" collapsed="false">
      <c r="A191" s="39" t="s">
        <v>330</v>
      </c>
      <c r="B191" s="39" t="s">
        <v>342</v>
      </c>
      <c r="C191" s="39" t="s">
        <v>913</v>
      </c>
      <c r="D191" s="39" t="s">
        <v>875</v>
      </c>
      <c r="E191" s="39" t="s">
        <v>355</v>
      </c>
      <c r="F191" s="39" t="s">
        <v>338</v>
      </c>
      <c r="G191" s="39" t="s">
        <v>876</v>
      </c>
      <c r="H191" s="39" t="s">
        <v>344</v>
      </c>
    </row>
    <row r="192" customFormat="false" ht="12.75" hidden="false" customHeight="true" outlineLevel="0" collapsed="false">
      <c r="A192" s="38" t="s">
        <v>330</v>
      </c>
      <c r="B192" s="38" t="s">
        <v>342</v>
      </c>
      <c r="C192" s="38" t="s">
        <v>915</v>
      </c>
      <c r="D192" s="38" t="s">
        <v>875</v>
      </c>
      <c r="E192" s="38" t="s">
        <v>355</v>
      </c>
      <c r="F192" s="38" t="s">
        <v>348</v>
      </c>
      <c r="G192" s="38" t="s">
        <v>876</v>
      </c>
      <c r="H192" s="38" t="s">
        <v>344</v>
      </c>
    </row>
    <row r="193" customFormat="false" ht="12.75" hidden="false" customHeight="true" outlineLevel="0" collapsed="false">
      <c r="A193" s="39" t="s">
        <v>330</v>
      </c>
      <c r="B193" s="39" t="s">
        <v>342</v>
      </c>
      <c r="C193" s="39" t="s">
        <v>917</v>
      </c>
      <c r="D193" s="39" t="s">
        <v>875</v>
      </c>
      <c r="E193" s="39" t="s">
        <v>355</v>
      </c>
      <c r="F193" s="39" t="s">
        <v>338</v>
      </c>
      <c r="G193" s="39" t="s">
        <v>876</v>
      </c>
      <c r="H193" s="39" t="s">
        <v>344</v>
      </c>
    </row>
    <row r="194" customFormat="false" ht="12.75" hidden="false" customHeight="true" outlineLevel="0" collapsed="false">
      <c r="A194" s="38" t="s">
        <v>330</v>
      </c>
      <c r="B194" s="38" t="s">
        <v>342</v>
      </c>
      <c r="C194" s="38" t="s">
        <v>919</v>
      </c>
      <c r="D194" s="38" t="s">
        <v>875</v>
      </c>
      <c r="E194" s="38" t="s">
        <v>355</v>
      </c>
      <c r="F194" s="38" t="s">
        <v>338</v>
      </c>
      <c r="G194" s="38" t="s">
        <v>876</v>
      </c>
      <c r="H194" s="38" t="s">
        <v>344</v>
      </c>
    </row>
    <row r="195" customFormat="false" ht="12.75" hidden="false" customHeight="true" outlineLevel="0" collapsed="false">
      <c r="A195" s="39" t="s">
        <v>330</v>
      </c>
      <c r="B195" s="39" t="s">
        <v>342</v>
      </c>
      <c r="C195" s="39" t="s">
        <v>932</v>
      </c>
      <c r="D195" s="39" t="s">
        <v>922</v>
      </c>
      <c r="E195" s="39" t="s">
        <v>610</v>
      </c>
      <c r="F195" s="39" t="s">
        <v>906</v>
      </c>
      <c r="G195" s="39" t="s">
        <v>925</v>
      </c>
      <c r="H195" s="39" t="s">
        <v>344</v>
      </c>
    </row>
    <row r="196" customFormat="false" ht="12.75" hidden="false" customHeight="true" outlineLevel="0" collapsed="false">
      <c r="A196" s="38" t="s">
        <v>330</v>
      </c>
      <c r="B196" s="38" t="s">
        <v>342</v>
      </c>
      <c r="C196" s="38" t="s">
        <v>939</v>
      </c>
      <c r="D196" s="38" t="s">
        <v>922</v>
      </c>
      <c r="E196" s="38" t="s">
        <v>355</v>
      </c>
      <c r="F196" s="38" t="s">
        <v>906</v>
      </c>
      <c r="G196" s="38" t="s">
        <v>925</v>
      </c>
      <c r="H196" s="38" t="s">
        <v>344</v>
      </c>
    </row>
    <row r="197" customFormat="false" ht="12.75" hidden="false" customHeight="true" outlineLevel="0" collapsed="false">
      <c r="A197" s="39" t="s">
        <v>330</v>
      </c>
      <c r="B197" s="39" t="s">
        <v>342</v>
      </c>
      <c r="C197" s="39" t="s">
        <v>947</v>
      </c>
      <c r="D197" s="39" t="s">
        <v>922</v>
      </c>
      <c r="E197" s="39" t="s">
        <v>355</v>
      </c>
      <c r="F197" s="39" t="s">
        <v>906</v>
      </c>
      <c r="G197" s="39" t="s">
        <v>925</v>
      </c>
      <c r="H197" s="39" t="s">
        <v>344</v>
      </c>
    </row>
    <row r="198" customFormat="false" ht="12.75" hidden="false" customHeight="true" outlineLevel="0" collapsed="false">
      <c r="A198" s="38" t="s">
        <v>330</v>
      </c>
      <c r="B198" s="38" t="s">
        <v>342</v>
      </c>
      <c r="C198" s="38" t="s">
        <v>955</v>
      </c>
      <c r="D198" s="38" t="s">
        <v>922</v>
      </c>
      <c r="E198" s="38" t="s">
        <v>355</v>
      </c>
      <c r="F198" s="38" t="s">
        <v>906</v>
      </c>
      <c r="G198" s="38" t="s">
        <v>925</v>
      </c>
      <c r="H198" s="38" t="s">
        <v>344</v>
      </c>
    </row>
    <row r="199" customFormat="false" ht="12.75" hidden="false" customHeight="true" outlineLevel="0" collapsed="false">
      <c r="A199" s="39" t="s">
        <v>330</v>
      </c>
      <c r="B199" s="39" t="s">
        <v>380</v>
      </c>
      <c r="C199" s="39" t="s">
        <v>362</v>
      </c>
      <c r="D199" s="39" t="s">
        <v>335</v>
      </c>
      <c r="E199" s="39" t="s">
        <v>366</v>
      </c>
      <c r="F199" s="39" t="s">
        <v>338</v>
      </c>
      <c r="G199" s="39" t="s">
        <v>364</v>
      </c>
      <c r="H199" s="39" t="s">
        <v>344</v>
      </c>
    </row>
    <row r="200" customFormat="false" ht="12.75" hidden="false" customHeight="true" outlineLevel="0" collapsed="false">
      <c r="A200" s="38" t="s">
        <v>330</v>
      </c>
      <c r="B200" s="38" t="s">
        <v>380</v>
      </c>
      <c r="C200" s="38" t="s">
        <v>373</v>
      </c>
      <c r="D200" s="38" t="s">
        <v>335</v>
      </c>
      <c r="E200" s="38" t="s">
        <v>355</v>
      </c>
      <c r="F200" s="38" t="s">
        <v>338</v>
      </c>
      <c r="G200" s="38" t="s">
        <v>337</v>
      </c>
      <c r="H200" s="38" t="s">
        <v>344</v>
      </c>
    </row>
    <row r="201" customFormat="false" ht="12.75" hidden="false" customHeight="true" outlineLevel="0" collapsed="false">
      <c r="A201" s="39" t="s">
        <v>330</v>
      </c>
      <c r="B201" s="39" t="s">
        <v>380</v>
      </c>
      <c r="C201" s="39" t="s">
        <v>376</v>
      </c>
      <c r="D201" s="39" t="s">
        <v>335</v>
      </c>
      <c r="E201" s="39" t="s">
        <v>378</v>
      </c>
      <c r="F201" s="39" t="s">
        <v>338</v>
      </c>
      <c r="G201" s="39" t="s">
        <v>337</v>
      </c>
      <c r="H201" s="39" t="s">
        <v>344</v>
      </c>
    </row>
    <row r="202" customFormat="false" ht="12.75" hidden="false" customHeight="true" outlineLevel="0" collapsed="false">
      <c r="A202" s="38" t="s">
        <v>330</v>
      </c>
      <c r="B202" s="38" t="s">
        <v>380</v>
      </c>
      <c r="C202" s="38" t="s">
        <v>730</v>
      </c>
      <c r="D202" s="38" t="s">
        <v>653</v>
      </c>
      <c r="E202" s="38" t="s">
        <v>378</v>
      </c>
      <c r="F202" s="38" t="s">
        <v>338</v>
      </c>
      <c r="G202" s="38" t="s">
        <v>383</v>
      </c>
      <c r="H202" s="38" t="s">
        <v>344</v>
      </c>
    </row>
    <row r="203" customFormat="false" ht="12.75" hidden="false" customHeight="true" outlineLevel="0" collapsed="false">
      <c r="A203" s="39" t="s">
        <v>330</v>
      </c>
      <c r="B203" s="39" t="s">
        <v>380</v>
      </c>
      <c r="C203" s="39" t="s">
        <v>752</v>
      </c>
      <c r="D203" s="39" t="s">
        <v>653</v>
      </c>
      <c r="E203" s="39" t="s">
        <v>378</v>
      </c>
      <c r="F203" s="39" t="s">
        <v>338</v>
      </c>
      <c r="G203" s="39" t="s">
        <v>383</v>
      </c>
      <c r="H203" s="39" t="s">
        <v>344</v>
      </c>
    </row>
    <row r="204" customFormat="false" ht="12.75" hidden="false" customHeight="true" outlineLevel="0" collapsed="false">
      <c r="A204" s="38" t="s">
        <v>330</v>
      </c>
      <c r="B204" s="38" t="s">
        <v>380</v>
      </c>
      <c r="C204" s="38" t="s">
        <v>615</v>
      </c>
      <c r="D204" s="38" t="s">
        <v>616</v>
      </c>
      <c r="E204" s="38" t="s">
        <v>378</v>
      </c>
      <c r="F204" s="38" t="s">
        <v>338</v>
      </c>
      <c r="G204" s="38" t="s">
        <v>337</v>
      </c>
      <c r="H204" s="38" t="s">
        <v>344</v>
      </c>
    </row>
    <row r="205" customFormat="false" ht="12.75" hidden="false" customHeight="true" outlineLevel="0" collapsed="false">
      <c r="A205" s="39" t="s">
        <v>330</v>
      </c>
      <c r="B205" s="39" t="s">
        <v>380</v>
      </c>
      <c r="C205" s="39" t="s">
        <v>619</v>
      </c>
      <c r="D205" s="39" t="s">
        <v>616</v>
      </c>
      <c r="E205" s="39" t="s">
        <v>378</v>
      </c>
      <c r="F205" s="39" t="s">
        <v>338</v>
      </c>
      <c r="G205" s="39" t="s">
        <v>337</v>
      </c>
      <c r="H205" s="39" t="s">
        <v>344</v>
      </c>
    </row>
    <row r="206" customFormat="false" ht="12.75" hidden="false" customHeight="true" outlineLevel="0" collapsed="false">
      <c r="A206" s="38" t="s">
        <v>330</v>
      </c>
      <c r="B206" s="38" t="s">
        <v>380</v>
      </c>
      <c r="C206" s="38" t="s">
        <v>622</v>
      </c>
      <c r="D206" s="38" t="s">
        <v>616</v>
      </c>
      <c r="E206" s="38" t="s">
        <v>378</v>
      </c>
      <c r="F206" s="38" t="s">
        <v>338</v>
      </c>
      <c r="G206" s="38" t="s">
        <v>337</v>
      </c>
      <c r="H206" s="38" t="s">
        <v>344</v>
      </c>
    </row>
    <row r="207" customFormat="false" ht="12.75" hidden="false" customHeight="true" outlineLevel="0" collapsed="false">
      <c r="A207" s="39" t="s">
        <v>330</v>
      </c>
      <c r="B207" s="39" t="s">
        <v>380</v>
      </c>
      <c r="C207" s="39" t="s">
        <v>911</v>
      </c>
      <c r="D207" s="39" t="s">
        <v>875</v>
      </c>
      <c r="E207" s="39" t="s">
        <v>355</v>
      </c>
      <c r="F207" s="39" t="s">
        <v>338</v>
      </c>
      <c r="G207" s="39" t="s">
        <v>876</v>
      </c>
      <c r="H207" s="39" t="s">
        <v>344</v>
      </c>
    </row>
    <row r="208" customFormat="false" ht="12.75" hidden="false" customHeight="true" outlineLevel="0" collapsed="false">
      <c r="A208" s="38" t="s">
        <v>330</v>
      </c>
      <c r="B208" s="38" t="s">
        <v>380</v>
      </c>
      <c r="C208" s="38" t="s">
        <v>913</v>
      </c>
      <c r="D208" s="38" t="s">
        <v>875</v>
      </c>
      <c r="E208" s="38" t="s">
        <v>355</v>
      </c>
      <c r="F208" s="38" t="s">
        <v>338</v>
      </c>
      <c r="G208" s="38" t="s">
        <v>876</v>
      </c>
      <c r="H208" s="38" t="s">
        <v>344</v>
      </c>
    </row>
    <row r="209" customFormat="false" ht="12.75" hidden="false" customHeight="true" outlineLevel="0" collapsed="false">
      <c r="A209" s="39" t="s">
        <v>330</v>
      </c>
      <c r="B209" s="39" t="s">
        <v>380</v>
      </c>
      <c r="C209" s="39" t="s">
        <v>915</v>
      </c>
      <c r="D209" s="39" t="s">
        <v>875</v>
      </c>
      <c r="E209" s="39" t="s">
        <v>355</v>
      </c>
      <c r="F209" s="39" t="s">
        <v>348</v>
      </c>
      <c r="G209" s="39" t="s">
        <v>876</v>
      </c>
      <c r="H209" s="39" t="s">
        <v>344</v>
      </c>
    </row>
    <row r="210" customFormat="false" ht="12.75" hidden="false" customHeight="true" outlineLevel="0" collapsed="false">
      <c r="A210" s="38" t="s">
        <v>330</v>
      </c>
      <c r="B210" s="38" t="s">
        <v>380</v>
      </c>
      <c r="C210" s="38" t="s">
        <v>917</v>
      </c>
      <c r="D210" s="38" t="s">
        <v>875</v>
      </c>
      <c r="E210" s="38" t="s">
        <v>355</v>
      </c>
      <c r="F210" s="38" t="s">
        <v>338</v>
      </c>
      <c r="G210" s="38" t="s">
        <v>876</v>
      </c>
      <c r="H210" s="38" t="s">
        <v>344</v>
      </c>
    </row>
    <row r="211" customFormat="false" ht="12.75" hidden="false" customHeight="true" outlineLevel="0" collapsed="false">
      <c r="A211" s="39" t="s">
        <v>330</v>
      </c>
      <c r="B211" s="39" t="s">
        <v>380</v>
      </c>
      <c r="C211" s="39" t="s">
        <v>919</v>
      </c>
      <c r="D211" s="39" t="s">
        <v>875</v>
      </c>
      <c r="E211" s="39" t="s">
        <v>355</v>
      </c>
      <c r="F211" s="39" t="s">
        <v>338</v>
      </c>
      <c r="G211" s="39" t="s">
        <v>876</v>
      </c>
      <c r="H211" s="39" t="s">
        <v>344</v>
      </c>
    </row>
    <row r="212" customFormat="false" ht="12.75" hidden="false" customHeight="true" outlineLevel="0" collapsed="false">
      <c r="A212" s="38" t="s">
        <v>330</v>
      </c>
      <c r="B212" s="38" t="s">
        <v>380</v>
      </c>
      <c r="C212" s="38" t="s">
        <v>936</v>
      </c>
      <c r="D212" s="38" t="s">
        <v>922</v>
      </c>
      <c r="E212" s="38" t="s">
        <v>378</v>
      </c>
      <c r="F212" s="38" t="s">
        <v>906</v>
      </c>
      <c r="G212" s="38" t="s">
        <v>925</v>
      </c>
      <c r="H212" s="38" t="s">
        <v>344</v>
      </c>
    </row>
    <row r="213" customFormat="false" ht="12.75" hidden="false" customHeight="true" outlineLevel="0" collapsed="false">
      <c r="A213" s="39" t="s">
        <v>330</v>
      </c>
      <c r="B213" s="39" t="s">
        <v>380</v>
      </c>
      <c r="C213" s="39" t="s">
        <v>939</v>
      </c>
      <c r="D213" s="39" t="s">
        <v>922</v>
      </c>
      <c r="E213" s="39" t="s">
        <v>355</v>
      </c>
      <c r="F213" s="39" t="s">
        <v>906</v>
      </c>
      <c r="G213" s="39" t="s">
        <v>925</v>
      </c>
      <c r="H213" s="39" t="s">
        <v>344</v>
      </c>
    </row>
    <row r="214" customFormat="false" ht="12.75" hidden="false" customHeight="true" outlineLevel="0" collapsed="false">
      <c r="A214" s="38" t="s">
        <v>330</v>
      </c>
      <c r="B214" s="38" t="s">
        <v>380</v>
      </c>
      <c r="C214" s="38" t="s">
        <v>947</v>
      </c>
      <c r="D214" s="38" t="s">
        <v>922</v>
      </c>
      <c r="E214" s="38" t="s">
        <v>355</v>
      </c>
      <c r="F214" s="38" t="s">
        <v>906</v>
      </c>
      <c r="G214" s="38" t="s">
        <v>925</v>
      </c>
      <c r="H214" s="38" t="s">
        <v>344</v>
      </c>
    </row>
    <row r="215" customFormat="false" ht="12.75" hidden="false" customHeight="true" outlineLevel="0" collapsed="false">
      <c r="A215" s="39" t="s">
        <v>330</v>
      </c>
      <c r="B215" s="39" t="s">
        <v>380</v>
      </c>
      <c r="C215" s="39" t="s">
        <v>955</v>
      </c>
      <c r="D215" s="39" t="s">
        <v>922</v>
      </c>
      <c r="E215" s="39" t="s">
        <v>355</v>
      </c>
      <c r="F215" s="39" t="s">
        <v>906</v>
      </c>
      <c r="G215" s="39" t="s">
        <v>925</v>
      </c>
      <c r="H215" s="39" t="s">
        <v>344</v>
      </c>
    </row>
    <row r="216" customFormat="false" ht="12.75" hidden="false" customHeight="true" outlineLevel="0" collapsed="false">
      <c r="A216" s="38" t="s">
        <v>330</v>
      </c>
      <c r="B216" s="38" t="s">
        <v>612</v>
      </c>
      <c r="C216" s="38" t="s">
        <v>97</v>
      </c>
      <c r="D216" s="38" t="s">
        <v>860</v>
      </c>
      <c r="E216" s="38" t="s">
        <v>355</v>
      </c>
      <c r="F216" s="38" t="s">
        <v>338</v>
      </c>
      <c r="G216" s="38" t="s">
        <v>337</v>
      </c>
      <c r="H216" s="38" t="s">
        <v>344</v>
      </c>
    </row>
    <row r="217" customFormat="false" ht="12.75" hidden="false" customHeight="true" outlineLevel="0" collapsed="false">
      <c r="A217" s="39" t="s">
        <v>330</v>
      </c>
      <c r="B217" s="39" t="s">
        <v>612</v>
      </c>
      <c r="C217" s="39" t="s">
        <v>625</v>
      </c>
      <c r="D217" s="39" t="s">
        <v>626</v>
      </c>
      <c r="E217" s="39" t="s">
        <v>340</v>
      </c>
      <c r="F217" s="39" t="s">
        <v>338</v>
      </c>
      <c r="G217" s="39" t="s">
        <v>337</v>
      </c>
      <c r="H217" s="39" t="s">
        <v>344</v>
      </c>
    </row>
    <row r="218" customFormat="false" ht="12.75" hidden="false" customHeight="true" outlineLevel="0" collapsed="false">
      <c r="A218" s="38" t="s">
        <v>330</v>
      </c>
      <c r="B218" s="38" t="s">
        <v>612</v>
      </c>
      <c r="C218" s="38" t="s">
        <v>857</v>
      </c>
      <c r="D218" s="38" t="s">
        <v>845</v>
      </c>
      <c r="E218" s="38" t="s">
        <v>846</v>
      </c>
      <c r="F218" s="38" t="s">
        <v>348</v>
      </c>
      <c r="G218" s="38" t="s">
        <v>359</v>
      </c>
      <c r="H218" s="38" t="s">
        <v>344</v>
      </c>
    </row>
    <row r="219" customFormat="false" ht="12.75" hidden="false" customHeight="true" outlineLevel="0" collapsed="false">
      <c r="A219" s="39" t="s">
        <v>330</v>
      </c>
      <c r="B219" s="39" t="s">
        <v>612</v>
      </c>
      <c r="C219" s="39" t="s">
        <v>629</v>
      </c>
      <c r="D219" s="39" t="s">
        <v>626</v>
      </c>
      <c r="E219" s="39" t="s">
        <v>631</v>
      </c>
      <c r="F219" s="39" t="s">
        <v>338</v>
      </c>
      <c r="G219" s="39" t="s">
        <v>337</v>
      </c>
      <c r="H219" s="39" t="s">
        <v>344</v>
      </c>
    </row>
    <row r="220" customFormat="false" ht="12.75" hidden="false" customHeight="true" outlineLevel="0" collapsed="false">
      <c r="A220" s="38" t="s">
        <v>330</v>
      </c>
      <c r="B220" s="38" t="s">
        <v>612</v>
      </c>
      <c r="C220" s="38" t="s">
        <v>633</v>
      </c>
      <c r="D220" s="38" t="s">
        <v>626</v>
      </c>
      <c r="E220" s="38" t="s">
        <v>631</v>
      </c>
      <c r="F220" s="38" t="s">
        <v>338</v>
      </c>
      <c r="G220" s="38" t="s">
        <v>337</v>
      </c>
      <c r="H220" s="38" t="s">
        <v>344</v>
      </c>
    </row>
    <row r="221" customFormat="false" ht="12.75" hidden="false" customHeight="true" outlineLevel="0" collapsed="false">
      <c r="A221" s="39" t="s">
        <v>330</v>
      </c>
      <c r="B221" s="39" t="s">
        <v>612</v>
      </c>
      <c r="C221" s="39" t="s">
        <v>636</v>
      </c>
      <c r="D221" s="39" t="s">
        <v>626</v>
      </c>
      <c r="E221" s="39" t="s">
        <v>631</v>
      </c>
      <c r="F221" s="39" t="s">
        <v>348</v>
      </c>
      <c r="G221" s="39" t="s">
        <v>383</v>
      </c>
      <c r="H221" s="39" t="s">
        <v>344</v>
      </c>
    </row>
    <row r="222" customFormat="false" ht="12.75" hidden="false" customHeight="true" outlineLevel="0" collapsed="false">
      <c r="A222" s="38" t="s">
        <v>330</v>
      </c>
      <c r="B222" s="38" t="s">
        <v>612</v>
      </c>
      <c r="C222" s="38" t="s">
        <v>639</v>
      </c>
      <c r="D222" s="38" t="s">
        <v>626</v>
      </c>
      <c r="E222" s="38" t="s">
        <v>631</v>
      </c>
      <c r="F222" s="38" t="s">
        <v>348</v>
      </c>
      <c r="G222" s="38" t="s">
        <v>337</v>
      </c>
      <c r="H222" s="38" t="s">
        <v>344</v>
      </c>
    </row>
    <row r="223" customFormat="false" ht="12.75" hidden="false" customHeight="true" outlineLevel="0" collapsed="false">
      <c r="A223" s="39" t="s">
        <v>330</v>
      </c>
      <c r="B223" s="39" t="s">
        <v>612</v>
      </c>
      <c r="C223" s="39" t="s">
        <v>641</v>
      </c>
      <c r="D223" s="39" t="s">
        <v>626</v>
      </c>
      <c r="E223" s="39" t="s">
        <v>631</v>
      </c>
      <c r="F223" s="39" t="s">
        <v>348</v>
      </c>
      <c r="G223" s="39" t="s">
        <v>383</v>
      </c>
      <c r="H223" s="39" t="s">
        <v>344</v>
      </c>
    </row>
    <row r="224" customFormat="false" ht="12.75" hidden="false" customHeight="true" outlineLevel="0" collapsed="false">
      <c r="A224" s="38" t="s">
        <v>330</v>
      </c>
      <c r="B224" s="38" t="s">
        <v>612</v>
      </c>
      <c r="C224" s="38" t="s">
        <v>386</v>
      </c>
      <c r="D224" s="38" t="s">
        <v>335</v>
      </c>
      <c r="E224" s="38" t="s">
        <v>355</v>
      </c>
      <c r="F224" s="38" t="s">
        <v>338</v>
      </c>
      <c r="G224" s="38" t="s">
        <v>337</v>
      </c>
      <c r="H224" s="38" t="s">
        <v>344</v>
      </c>
    </row>
    <row r="225" customFormat="false" ht="12.75" hidden="false" customHeight="true" outlineLevel="0" collapsed="false">
      <c r="A225" s="39" t="s">
        <v>330</v>
      </c>
      <c r="B225" s="39" t="s">
        <v>612</v>
      </c>
      <c r="C225" s="39" t="s">
        <v>283</v>
      </c>
      <c r="D225" s="39" t="s">
        <v>860</v>
      </c>
      <c r="E225" s="39" t="s">
        <v>366</v>
      </c>
      <c r="F225" s="39" t="s">
        <v>348</v>
      </c>
      <c r="G225" s="39" t="s">
        <v>337</v>
      </c>
      <c r="H225" s="39" t="s">
        <v>344</v>
      </c>
    </row>
    <row r="226" customFormat="false" ht="12.75" hidden="false" customHeight="true" outlineLevel="0" collapsed="false">
      <c r="A226" s="38" t="s">
        <v>330</v>
      </c>
      <c r="B226" s="38" t="s">
        <v>612</v>
      </c>
      <c r="C226" s="38" t="s">
        <v>665</v>
      </c>
      <c r="D226" s="38" t="s">
        <v>653</v>
      </c>
      <c r="E226" s="38" t="s">
        <v>648</v>
      </c>
      <c r="F226" s="38" t="s">
        <v>338</v>
      </c>
      <c r="G226" s="38" t="s">
        <v>383</v>
      </c>
      <c r="H226" s="38" t="s">
        <v>344</v>
      </c>
    </row>
    <row r="227" customFormat="false" ht="12.75" hidden="false" customHeight="true" outlineLevel="0" collapsed="false">
      <c r="A227" s="39" t="s">
        <v>330</v>
      </c>
      <c r="B227" s="39" t="s">
        <v>612</v>
      </c>
      <c r="C227" s="39" t="s">
        <v>678</v>
      </c>
      <c r="D227" s="39" t="s">
        <v>653</v>
      </c>
      <c r="E227" s="39" t="s">
        <v>648</v>
      </c>
      <c r="F227" s="39" t="s">
        <v>338</v>
      </c>
      <c r="G227" s="39" t="s">
        <v>383</v>
      </c>
      <c r="H227" s="39" t="s">
        <v>344</v>
      </c>
    </row>
    <row r="228" customFormat="false" ht="12.75" hidden="false" customHeight="true" outlineLevel="0" collapsed="false">
      <c r="A228" s="38" t="s">
        <v>330</v>
      </c>
      <c r="B228" s="38" t="s">
        <v>612</v>
      </c>
      <c r="C228" s="38" t="s">
        <v>680</v>
      </c>
      <c r="D228" s="38" t="s">
        <v>653</v>
      </c>
      <c r="E228" s="38" t="s">
        <v>392</v>
      </c>
      <c r="F228" s="38" t="s">
        <v>338</v>
      </c>
      <c r="G228" s="38" t="s">
        <v>383</v>
      </c>
      <c r="H228" s="38" t="s">
        <v>344</v>
      </c>
    </row>
    <row r="229" customFormat="false" ht="12.75" hidden="false" customHeight="true" outlineLevel="0" collapsed="false">
      <c r="A229" s="39" t="s">
        <v>330</v>
      </c>
      <c r="B229" s="39" t="s">
        <v>612</v>
      </c>
      <c r="C229" s="39" t="s">
        <v>690</v>
      </c>
      <c r="D229" s="39" t="s">
        <v>653</v>
      </c>
      <c r="E229" s="39" t="s">
        <v>631</v>
      </c>
      <c r="F229" s="39" t="s">
        <v>338</v>
      </c>
      <c r="G229" s="39" t="s">
        <v>383</v>
      </c>
      <c r="H229" s="39" t="s">
        <v>344</v>
      </c>
    </row>
    <row r="230" customFormat="false" ht="12.75" hidden="false" customHeight="true" outlineLevel="0" collapsed="false">
      <c r="A230" s="38" t="s">
        <v>330</v>
      </c>
      <c r="B230" s="38" t="s">
        <v>612</v>
      </c>
      <c r="C230" s="38" t="s">
        <v>701</v>
      </c>
      <c r="D230" s="38" t="s">
        <v>653</v>
      </c>
      <c r="E230" s="38" t="s">
        <v>453</v>
      </c>
      <c r="F230" s="38" t="s">
        <v>338</v>
      </c>
      <c r="G230" s="38" t="s">
        <v>383</v>
      </c>
      <c r="H230" s="38" t="s">
        <v>344</v>
      </c>
    </row>
    <row r="231" customFormat="false" ht="12.75" hidden="false" customHeight="true" outlineLevel="0" collapsed="false">
      <c r="A231" s="39" t="s">
        <v>330</v>
      </c>
      <c r="B231" s="39" t="s">
        <v>612</v>
      </c>
      <c r="C231" s="39" t="s">
        <v>703</v>
      </c>
      <c r="D231" s="39" t="s">
        <v>653</v>
      </c>
      <c r="E231" s="39" t="s">
        <v>340</v>
      </c>
      <c r="F231" s="39" t="s">
        <v>338</v>
      </c>
      <c r="G231" s="39" t="s">
        <v>383</v>
      </c>
      <c r="H231" s="39" t="s">
        <v>344</v>
      </c>
    </row>
    <row r="232" customFormat="false" ht="12.75" hidden="false" customHeight="true" outlineLevel="0" collapsed="false">
      <c r="A232" s="38" t="s">
        <v>330</v>
      </c>
      <c r="B232" s="38" t="s">
        <v>612</v>
      </c>
      <c r="C232" s="38" t="s">
        <v>705</v>
      </c>
      <c r="D232" s="38" t="s">
        <v>653</v>
      </c>
      <c r="E232" s="38" t="s">
        <v>648</v>
      </c>
      <c r="F232" s="38" t="s">
        <v>338</v>
      </c>
      <c r="G232" s="38" t="s">
        <v>383</v>
      </c>
      <c r="H232" s="38" t="s">
        <v>344</v>
      </c>
    </row>
    <row r="233" customFormat="false" ht="12.75" hidden="false" customHeight="true" outlineLevel="0" collapsed="false">
      <c r="A233" s="39" t="s">
        <v>330</v>
      </c>
      <c r="B233" s="39" t="s">
        <v>612</v>
      </c>
      <c r="C233" s="39" t="s">
        <v>712</v>
      </c>
      <c r="D233" s="39" t="s">
        <v>653</v>
      </c>
      <c r="E233" s="39" t="s">
        <v>631</v>
      </c>
      <c r="F233" s="39" t="s">
        <v>338</v>
      </c>
      <c r="G233" s="39" t="s">
        <v>383</v>
      </c>
      <c r="H233" s="39" t="s">
        <v>344</v>
      </c>
    </row>
    <row r="234" customFormat="false" ht="12.75" hidden="false" customHeight="true" outlineLevel="0" collapsed="false">
      <c r="A234" s="38" t="s">
        <v>330</v>
      </c>
      <c r="B234" s="38" t="s">
        <v>612</v>
      </c>
      <c r="C234" s="38" t="s">
        <v>714</v>
      </c>
      <c r="D234" s="38" t="s">
        <v>653</v>
      </c>
      <c r="E234" s="38" t="s">
        <v>392</v>
      </c>
      <c r="F234" s="38" t="s">
        <v>338</v>
      </c>
      <c r="G234" s="38" t="s">
        <v>383</v>
      </c>
      <c r="H234" s="38" t="s">
        <v>344</v>
      </c>
    </row>
    <row r="235" customFormat="false" ht="12.75" hidden="false" customHeight="true" outlineLevel="0" collapsed="false">
      <c r="A235" s="39" t="s">
        <v>330</v>
      </c>
      <c r="B235" s="39" t="s">
        <v>612</v>
      </c>
      <c r="C235" s="39" t="s">
        <v>716</v>
      </c>
      <c r="D235" s="39" t="s">
        <v>653</v>
      </c>
      <c r="E235" s="39" t="s">
        <v>648</v>
      </c>
      <c r="F235" s="39" t="s">
        <v>338</v>
      </c>
      <c r="G235" s="39" t="s">
        <v>383</v>
      </c>
      <c r="H235" s="39" t="s">
        <v>344</v>
      </c>
    </row>
    <row r="236" customFormat="false" ht="12.75" hidden="false" customHeight="true" outlineLevel="0" collapsed="false">
      <c r="A236" s="38" t="s">
        <v>330</v>
      </c>
      <c r="B236" s="38" t="s">
        <v>612</v>
      </c>
      <c r="C236" s="38" t="s">
        <v>720</v>
      </c>
      <c r="D236" s="38" t="s">
        <v>653</v>
      </c>
      <c r="E236" s="38" t="s">
        <v>340</v>
      </c>
      <c r="F236" s="38" t="s">
        <v>338</v>
      </c>
      <c r="G236" s="38" t="s">
        <v>383</v>
      </c>
      <c r="H236" s="38" t="s">
        <v>344</v>
      </c>
    </row>
    <row r="237" customFormat="false" ht="12.75" hidden="false" customHeight="true" outlineLevel="0" collapsed="false">
      <c r="A237" s="39" t="s">
        <v>330</v>
      </c>
      <c r="B237" s="39" t="s">
        <v>612</v>
      </c>
      <c r="C237" s="39" t="s">
        <v>722</v>
      </c>
      <c r="D237" s="39" t="s">
        <v>653</v>
      </c>
      <c r="E237" s="39" t="s">
        <v>631</v>
      </c>
      <c r="F237" s="39" t="s">
        <v>338</v>
      </c>
      <c r="G237" s="39" t="s">
        <v>383</v>
      </c>
      <c r="H237" s="39" t="s">
        <v>344</v>
      </c>
    </row>
    <row r="238" customFormat="false" ht="12.75" hidden="false" customHeight="true" outlineLevel="0" collapsed="false">
      <c r="A238" s="38" t="s">
        <v>330</v>
      </c>
      <c r="B238" s="38" t="s">
        <v>612</v>
      </c>
      <c r="C238" s="38" t="s">
        <v>746</v>
      </c>
      <c r="D238" s="38" t="s">
        <v>653</v>
      </c>
      <c r="E238" s="38" t="s">
        <v>340</v>
      </c>
      <c r="F238" s="38" t="s">
        <v>338</v>
      </c>
      <c r="G238" s="38" t="s">
        <v>383</v>
      </c>
      <c r="H238" s="38" t="s">
        <v>344</v>
      </c>
    </row>
    <row r="239" customFormat="false" ht="12.75" hidden="false" customHeight="true" outlineLevel="0" collapsed="false">
      <c r="A239" s="39" t="s">
        <v>330</v>
      </c>
      <c r="B239" s="39" t="s">
        <v>612</v>
      </c>
      <c r="C239" s="39" t="s">
        <v>758</v>
      </c>
      <c r="D239" s="39" t="s">
        <v>653</v>
      </c>
      <c r="E239" s="39" t="s">
        <v>355</v>
      </c>
      <c r="F239" s="39" t="s">
        <v>348</v>
      </c>
      <c r="G239" s="39" t="s">
        <v>383</v>
      </c>
      <c r="H239" s="39" t="s">
        <v>344</v>
      </c>
    </row>
    <row r="240" customFormat="false" ht="12.75" hidden="false" customHeight="true" outlineLevel="0" collapsed="false">
      <c r="A240" s="38" t="s">
        <v>330</v>
      </c>
      <c r="B240" s="38" t="s">
        <v>612</v>
      </c>
      <c r="C240" s="38" t="s">
        <v>764</v>
      </c>
      <c r="D240" s="38" t="s">
        <v>653</v>
      </c>
      <c r="E240" s="38" t="s">
        <v>392</v>
      </c>
      <c r="F240" s="38" t="s">
        <v>348</v>
      </c>
      <c r="G240" s="38" t="s">
        <v>383</v>
      </c>
      <c r="H240" s="38" t="s">
        <v>344</v>
      </c>
    </row>
    <row r="241" customFormat="false" ht="12.75" hidden="false" customHeight="true" outlineLevel="0" collapsed="false">
      <c r="A241" s="39" t="s">
        <v>330</v>
      </c>
      <c r="B241" s="39" t="s">
        <v>612</v>
      </c>
      <c r="C241" s="39" t="s">
        <v>766</v>
      </c>
      <c r="D241" s="39" t="s">
        <v>653</v>
      </c>
      <c r="E241" s="39" t="s">
        <v>392</v>
      </c>
      <c r="F241" s="39" t="s">
        <v>348</v>
      </c>
      <c r="G241" s="39" t="s">
        <v>383</v>
      </c>
      <c r="H241" s="39" t="s">
        <v>344</v>
      </c>
    </row>
    <row r="242" customFormat="false" ht="12.75" hidden="false" customHeight="true" outlineLevel="0" collapsed="false">
      <c r="A242" s="38" t="s">
        <v>330</v>
      </c>
      <c r="B242" s="38" t="s">
        <v>612</v>
      </c>
      <c r="C242" s="38" t="s">
        <v>780</v>
      </c>
      <c r="D242" s="38" t="s">
        <v>653</v>
      </c>
      <c r="E242" s="38" t="s">
        <v>581</v>
      </c>
      <c r="F242" s="38" t="s">
        <v>348</v>
      </c>
      <c r="G242" s="38" t="s">
        <v>383</v>
      </c>
      <c r="H242" s="38" t="s">
        <v>344</v>
      </c>
    </row>
    <row r="243" customFormat="false" ht="12.75" hidden="false" customHeight="true" outlineLevel="0" collapsed="false">
      <c r="A243" s="39" t="s">
        <v>330</v>
      </c>
      <c r="B243" s="39" t="s">
        <v>612</v>
      </c>
      <c r="C243" s="39" t="s">
        <v>786</v>
      </c>
      <c r="D243" s="39" t="s">
        <v>653</v>
      </c>
      <c r="E243" s="39" t="s">
        <v>355</v>
      </c>
      <c r="F243" s="39" t="s">
        <v>348</v>
      </c>
      <c r="G243" s="39" t="s">
        <v>383</v>
      </c>
      <c r="H243" s="39" t="s">
        <v>344</v>
      </c>
    </row>
    <row r="244" customFormat="false" ht="12.75" hidden="false" customHeight="true" outlineLevel="0" collapsed="false">
      <c r="A244" s="38" t="s">
        <v>330</v>
      </c>
      <c r="B244" s="38" t="s">
        <v>612</v>
      </c>
      <c r="C244" s="38" t="s">
        <v>789</v>
      </c>
      <c r="D244" s="38" t="s">
        <v>653</v>
      </c>
      <c r="E244" s="38" t="s">
        <v>340</v>
      </c>
      <c r="F244" s="38" t="s">
        <v>348</v>
      </c>
      <c r="G244" s="38" t="s">
        <v>383</v>
      </c>
      <c r="H244" s="38" t="s">
        <v>344</v>
      </c>
    </row>
    <row r="245" customFormat="false" ht="12.75" hidden="false" customHeight="true" outlineLevel="0" collapsed="false">
      <c r="A245" s="39" t="s">
        <v>330</v>
      </c>
      <c r="B245" s="39" t="s">
        <v>612</v>
      </c>
      <c r="C245" s="39" t="s">
        <v>791</v>
      </c>
      <c r="D245" s="39" t="s">
        <v>653</v>
      </c>
      <c r="E245" s="39" t="s">
        <v>340</v>
      </c>
      <c r="F245" s="39" t="s">
        <v>348</v>
      </c>
      <c r="G245" s="39" t="s">
        <v>383</v>
      </c>
      <c r="H245" s="39" t="s">
        <v>344</v>
      </c>
    </row>
    <row r="246" customFormat="false" ht="12.75" hidden="false" customHeight="true" outlineLevel="0" collapsed="false">
      <c r="A246" s="38" t="s">
        <v>330</v>
      </c>
      <c r="B246" s="38" t="s">
        <v>612</v>
      </c>
      <c r="C246" s="38" t="s">
        <v>793</v>
      </c>
      <c r="D246" s="38" t="s">
        <v>653</v>
      </c>
      <c r="E246" s="38" t="s">
        <v>340</v>
      </c>
      <c r="F246" s="38" t="s">
        <v>348</v>
      </c>
      <c r="G246" s="38" t="s">
        <v>383</v>
      </c>
      <c r="H246" s="38" t="s">
        <v>344</v>
      </c>
    </row>
    <row r="247" customFormat="false" ht="12.75" hidden="false" customHeight="true" outlineLevel="0" collapsed="false">
      <c r="A247" s="39" t="s">
        <v>330</v>
      </c>
      <c r="B247" s="39" t="s">
        <v>612</v>
      </c>
      <c r="C247" s="39" t="s">
        <v>487</v>
      </c>
      <c r="D247" s="39" t="s">
        <v>446</v>
      </c>
      <c r="E247" s="39" t="s">
        <v>488</v>
      </c>
      <c r="F247" s="39" t="s">
        <v>338</v>
      </c>
      <c r="G247" s="39" t="s">
        <v>337</v>
      </c>
      <c r="H247" s="39" t="s">
        <v>344</v>
      </c>
    </row>
    <row r="248" customFormat="false" ht="12.75" hidden="false" customHeight="true" outlineLevel="0" collapsed="false">
      <c r="A248" s="38" t="s">
        <v>330</v>
      </c>
      <c r="B248" s="38" t="s">
        <v>612</v>
      </c>
      <c r="C248" s="38" t="s">
        <v>492</v>
      </c>
      <c r="D248" s="38" t="s">
        <v>446</v>
      </c>
      <c r="E248" s="38" t="s">
        <v>488</v>
      </c>
      <c r="F248" s="38" t="s">
        <v>338</v>
      </c>
      <c r="G248" s="38" t="s">
        <v>337</v>
      </c>
      <c r="H248" s="38" t="s">
        <v>344</v>
      </c>
    </row>
    <row r="249" customFormat="false" ht="12.75" hidden="false" customHeight="true" outlineLevel="0" collapsed="false">
      <c r="A249" s="39" t="s">
        <v>330</v>
      </c>
      <c r="B249" s="39" t="s">
        <v>612</v>
      </c>
      <c r="C249" s="39" t="s">
        <v>609</v>
      </c>
      <c r="D249" s="39" t="s">
        <v>608</v>
      </c>
      <c r="E249" s="39" t="s">
        <v>610</v>
      </c>
      <c r="F249" s="39" t="s">
        <v>338</v>
      </c>
      <c r="G249" s="39" t="s">
        <v>337</v>
      </c>
      <c r="H249" s="39" t="s">
        <v>344</v>
      </c>
    </row>
    <row r="250" customFormat="false" ht="12.75" hidden="false" customHeight="true" outlineLevel="0" collapsed="false">
      <c r="A250" s="38" t="s">
        <v>330</v>
      </c>
      <c r="B250" s="38" t="s">
        <v>612</v>
      </c>
      <c r="C250" s="38" t="s">
        <v>647</v>
      </c>
      <c r="D250" s="38" t="s">
        <v>626</v>
      </c>
      <c r="E250" s="38" t="s">
        <v>648</v>
      </c>
      <c r="F250" s="38" t="s">
        <v>348</v>
      </c>
      <c r="G250" s="38" t="s">
        <v>337</v>
      </c>
      <c r="H250" s="38" t="s">
        <v>344</v>
      </c>
    </row>
    <row r="251" customFormat="false" ht="12.75" hidden="false" customHeight="true" outlineLevel="0" collapsed="false">
      <c r="A251" s="39" t="s">
        <v>330</v>
      </c>
      <c r="B251" s="39" t="s">
        <v>612</v>
      </c>
      <c r="C251" s="39" t="s">
        <v>650</v>
      </c>
      <c r="D251" s="39" t="s">
        <v>626</v>
      </c>
      <c r="E251" s="39" t="s">
        <v>648</v>
      </c>
      <c r="F251" s="39" t="s">
        <v>348</v>
      </c>
      <c r="G251" s="39" t="s">
        <v>337</v>
      </c>
      <c r="H251" s="39" t="s">
        <v>344</v>
      </c>
    </row>
    <row r="252" customFormat="false" ht="12.75" hidden="false" customHeight="true" outlineLevel="0" collapsed="false">
      <c r="A252" s="38" t="s">
        <v>330</v>
      </c>
      <c r="B252" s="38" t="s">
        <v>612</v>
      </c>
      <c r="C252" s="38" t="s">
        <v>921</v>
      </c>
      <c r="D252" s="38" t="s">
        <v>922</v>
      </c>
      <c r="E252" s="38" t="s">
        <v>648</v>
      </c>
      <c r="F252" s="38" t="s">
        <v>906</v>
      </c>
      <c r="G252" s="38" t="s">
        <v>925</v>
      </c>
      <c r="H252" s="38" t="s">
        <v>344</v>
      </c>
    </row>
    <row r="253" customFormat="false" ht="12.75" hidden="false" customHeight="true" outlineLevel="0" collapsed="false">
      <c r="A253" s="39" t="s">
        <v>330</v>
      </c>
      <c r="B253" s="39" t="s">
        <v>612</v>
      </c>
      <c r="C253" s="39" t="s">
        <v>932</v>
      </c>
      <c r="D253" s="39" t="s">
        <v>922</v>
      </c>
      <c r="E253" s="39" t="s">
        <v>610</v>
      </c>
      <c r="F253" s="39" t="s">
        <v>906</v>
      </c>
      <c r="G253" s="39" t="s">
        <v>925</v>
      </c>
      <c r="H253" s="39" t="s">
        <v>344</v>
      </c>
    </row>
    <row r="254" customFormat="false" ht="12.75" hidden="false" customHeight="true" outlineLevel="0" collapsed="false">
      <c r="A254" s="38" t="s">
        <v>330</v>
      </c>
      <c r="B254" s="38" t="s">
        <v>612</v>
      </c>
      <c r="C254" s="38" t="s">
        <v>950</v>
      </c>
      <c r="D254" s="38" t="s">
        <v>922</v>
      </c>
      <c r="E254" s="38" t="s">
        <v>488</v>
      </c>
      <c r="F254" s="38" t="s">
        <v>906</v>
      </c>
      <c r="G254" s="38" t="s">
        <v>925</v>
      </c>
      <c r="H254" s="38" t="s">
        <v>344</v>
      </c>
    </row>
    <row r="255" customFormat="false" ht="12.75" hidden="false" customHeight="true" outlineLevel="0" collapsed="false">
      <c r="A255" s="41" t="s">
        <v>329</v>
      </c>
      <c r="B255" s="49" t="s">
        <v>1011</v>
      </c>
      <c r="C255" s="41" t="s">
        <v>125</v>
      </c>
      <c r="D255" s="41" t="s">
        <v>608</v>
      </c>
      <c r="E255" s="41"/>
      <c r="F255" s="41"/>
      <c r="G255" s="41"/>
      <c r="H255" s="41" t="s">
        <v>372</v>
      </c>
    </row>
    <row r="256" customFormat="false" ht="12.75" hidden="false" customHeight="true" outlineLevel="0" collapsed="false">
      <c r="A256" s="41" t="s">
        <v>329</v>
      </c>
      <c r="B256" s="49" t="s">
        <v>1011</v>
      </c>
      <c r="C256" s="41" t="s">
        <v>596</v>
      </c>
      <c r="D256" s="41" t="s">
        <v>591</v>
      </c>
      <c r="E256" s="41"/>
      <c r="F256" s="41"/>
      <c r="G256" s="41"/>
      <c r="H256" s="41" t="s">
        <v>372</v>
      </c>
    </row>
    <row r="257" customFormat="false" ht="12.75" hidden="false" customHeight="true" outlineLevel="0" collapsed="false">
      <c r="A257" s="41" t="s">
        <v>329</v>
      </c>
      <c r="B257" s="49" t="s">
        <v>1011</v>
      </c>
      <c r="C257" s="41" t="s">
        <v>370</v>
      </c>
      <c r="D257" s="41" t="s">
        <v>335</v>
      </c>
      <c r="E257" s="41"/>
      <c r="F257" s="41"/>
      <c r="G257" s="41"/>
      <c r="H257" s="41" t="s">
        <v>372</v>
      </c>
    </row>
    <row r="258" customFormat="false" ht="12.75" hidden="false" customHeight="true" outlineLevel="0" collapsed="false">
      <c r="A258" s="41" t="s">
        <v>329</v>
      </c>
      <c r="B258" s="49" t="s">
        <v>1011</v>
      </c>
      <c r="C258" s="41" t="s">
        <v>385</v>
      </c>
      <c r="D258" s="41" t="s">
        <v>335</v>
      </c>
      <c r="E258" s="41"/>
      <c r="F258" s="41"/>
      <c r="G258" s="41"/>
      <c r="H258" s="41" t="s">
        <v>372</v>
      </c>
    </row>
    <row r="259" customFormat="false" ht="12.75" hidden="false" customHeight="true" outlineLevel="0" collapsed="false">
      <c r="A259" s="41" t="s">
        <v>329</v>
      </c>
      <c r="B259" s="49" t="s">
        <v>1011</v>
      </c>
      <c r="C259" s="41" t="s">
        <v>589</v>
      </c>
      <c r="D259" s="41" t="s">
        <v>579</v>
      </c>
      <c r="E259" s="41"/>
      <c r="F259" s="41"/>
      <c r="G259" s="41"/>
      <c r="H259" s="41" t="s">
        <v>372</v>
      </c>
    </row>
    <row r="260" customFormat="false" ht="12.75" hidden="false" customHeight="true" outlineLevel="0" collapsed="false">
      <c r="A260" s="41" t="s">
        <v>329</v>
      </c>
      <c r="B260" s="49" t="s">
        <v>1011</v>
      </c>
      <c r="C260" s="41" t="s">
        <v>840</v>
      </c>
      <c r="D260" s="41" t="s">
        <v>825</v>
      </c>
      <c r="E260" s="41"/>
      <c r="F260" s="41"/>
      <c r="G260" s="41"/>
      <c r="H260" s="41" t="s">
        <v>372</v>
      </c>
    </row>
    <row r="261" customFormat="false" ht="12.75" hidden="false" customHeight="true" outlineLevel="0" collapsed="false">
      <c r="A261" s="41" t="s">
        <v>329</v>
      </c>
      <c r="B261" s="49" t="s">
        <v>1011</v>
      </c>
      <c r="C261" s="41" t="s">
        <v>607</v>
      </c>
      <c r="D261" s="41" t="s">
        <v>604</v>
      </c>
      <c r="E261" s="41"/>
      <c r="F261" s="41"/>
      <c r="G261" s="41"/>
      <c r="H261" s="41" t="s">
        <v>372</v>
      </c>
    </row>
    <row r="262" customFormat="false" ht="12.75" hidden="false" customHeight="true" outlineLevel="0" collapsed="false">
      <c r="A262" s="41" t="s">
        <v>329</v>
      </c>
      <c r="B262" s="49" t="s">
        <v>1011</v>
      </c>
      <c r="C262" s="41" t="s">
        <v>645</v>
      </c>
      <c r="D262" s="41" t="s">
        <v>626</v>
      </c>
      <c r="E262" s="41"/>
      <c r="F262" s="41"/>
      <c r="G262" s="41"/>
      <c r="H262" s="41" t="s">
        <v>372</v>
      </c>
    </row>
    <row r="263" customFormat="false" ht="12.75" hidden="false" customHeight="true" outlineLevel="0" collapsed="false">
      <c r="A263" s="41" t="s">
        <v>329</v>
      </c>
      <c r="B263" s="49" t="s">
        <v>1011</v>
      </c>
      <c r="C263" s="41" t="s">
        <v>873</v>
      </c>
      <c r="D263" s="41" t="s">
        <v>860</v>
      </c>
      <c r="E263" s="41"/>
      <c r="F263" s="41"/>
      <c r="G263" s="41"/>
      <c r="H263" s="41" t="s">
        <v>372</v>
      </c>
    </row>
    <row r="264" customFormat="false" ht="12.75" hidden="false" customHeight="true" outlineLevel="0" collapsed="false">
      <c r="A264" s="41" t="s">
        <v>329</v>
      </c>
      <c r="B264" s="49" t="s">
        <v>1011</v>
      </c>
      <c r="C264" s="41" t="s">
        <v>652</v>
      </c>
      <c r="D264" s="41" t="s">
        <v>653</v>
      </c>
      <c r="E264" s="41"/>
      <c r="F264" s="41"/>
      <c r="G264" s="41"/>
      <c r="H264" s="41" t="s">
        <v>372</v>
      </c>
    </row>
    <row r="265" customFormat="false" ht="12.75" hidden="false" customHeight="true" outlineLevel="0" collapsed="false">
      <c r="A265" s="41" t="s">
        <v>329</v>
      </c>
      <c r="B265" s="49" t="s">
        <v>1011</v>
      </c>
      <c r="C265" s="41" t="s">
        <v>669</v>
      </c>
      <c r="D265" s="41" t="s">
        <v>653</v>
      </c>
      <c r="E265" s="41"/>
      <c r="F265" s="41"/>
      <c r="G265" s="41"/>
      <c r="H265" s="41" t="s">
        <v>372</v>
      </c>
    </row>
    <row r="266" customFormat="false" ht="12.75" hidden="false" customHeight="true" outlineLevel="0" collapsed="false">
      <c r="A266" s="41" t="s">
        <v>329</v>
      </c>
      <c r="B266" s="49" t="s">
        <v>1011</v>
      </c>
      <c r="C266" s="41" t="s">
        <v>727</v>
      </c>
      <c r="D266" s="41" t="s">
        <v>653</v>
      </c>
      <c r="E266" s="41"/>
      <c r="F266" s="41"/>
      <c r="G266" s="41"/>
      <c r="H266" s="41" t="s">
        <v>372</v>
      </c>
    </row>
    <row r="267" customFormat="false" ht="12.75" hidden="false" customHeight="true" outlineLevel="0" collapsed="false">
      <c r="A267" s="41" t="s">
        <v>329</v>
      </c>
      <c r="B267" s="49" t="s">
        <v>1011</v>
      </c>
      <c r="C267" s="41" t="s">
        <v>426</v>
      </c>
      <c r="D267" s="41" t="s">
        <v>335</v>
      </c>
      <c r="E267" s="41"/>
      <c r="F267" s="41"/>
      <c r="G267" s="41"/>
      <c r="H267" s="41" t="s">
        <v>372</v>
      </c>
    </row>
    <row r="268" customFormat="false" ht="12.75" hidden="false" customHeight="true" outlineLevel="0" collapsed="false">
      <c r="A268" s="41" t="s">
        <v>329</v>
      </c>
      <c r="B268" s="49" t="s">
        <v>1011</v>
      </c>
      <c r="C268" s="41" t="s">
        <v>428</v>
      </c>
      <c r="D268" s="41" t="s">
        <v>335</v>
      </c>
      <c r="E268" s="41"/>
      <c r="F268" s="41"/>
      <c r="G268" s="41"/>
      <c r="H268" s="41" t="s">
        <v>372</v>
      </c>
    </row>
    <row r="269" customFormat="false" ht="12.75" hidden="false" customHeight="true" outlineLevel="0" collapsed="false">
      <c r="A269" s="41" t="s">
        <v>329</v>
      </c>
      <c r="B269" s="49" t="s">
        <v>1011</v>
      </c>
      <c r="C269" s="41" t="s">
        <v>471</v>
      </c>
      <c r="D269" s="41" t="s">
        <v>446</v>
      </c>
      <c r="E269" s="41"/>
      <c r="F269" s="41"/>
      <c r="G269" s="41"/>
      <c r="H269" s="41" t="s">
        <v>372</v>
      </c>
    </row>
    <row r="270" customFormat="false" ht="12.75" hidden="false" customHeight="true" outlineLevel="0" collapsed="false">
      <c r="A270" s="41" t="s">
        <v>329</v>
      </c>
      <c r="B270" s="49" t="s">
        <v>1011</v>
      </c>
      <c r="C270" s="41" t="s">
        <v>472</v>
      </c>
      <c r="D270" s="41" t="s">
        <v>446</v>
      </c>
      <c r="E270" s="41"/>
      <c r="F270" s="41"/>
      <c r="G270" s="41"/>
      <c r="H270" s="41" t="s">
        <v>372</v>
      </c>
    </row>
    <row r="271" customFormat="false" ht="12.75" hidden="false" customHeight="true" outlineLevel="0" collapsed="false">
      <c r="A271" s="41" t="s">
        <v>329</v>
      </c>
      <c r="B271" s="49" t="s">
        <v>1011</v>
      </c>
      <c r="C271" s="41" t="s">
        <v>556</v>
      </c>
      <c r="D271" s="41" t="s">
        <v>544</v>
      </c>
      <c r="E271" s="41"/>
      <c r="F271" s="41"/>
      <c r="G271" s="41"/>
      <c r="H271" s="41" t="s">
        <v>372</v>
      </c>
    </row>
    <row r="272" customFormat="false" ht="12.75" hidden="false" customHeight="true" outlineLevel="0" collapsed="false">
      <c r="A272" s="41" t="s">
        <v>329</v>
      </c>
      <c r="B272" s="49" t="s">
        <v>1011</v>
      </c>
      <c r="C272" s="41" t="s">
        <v>115</v>
      </c>
      <c r="D272" s="41" t="s">
        <v>446</v>
      </c>
      <c r="E272" s="41"/>
      <c r="F272" s="41"/>
      <c r="G272" s="41"/>
      <c r="H272" s="41" t="s">
        <v>372</v>
      </c>
    </row>
    <row r="273" customFormat="false" ht="12.75" hidden="false" customHeight="true" outlineLevel="0" collapsed="false">
      <c r="A273" s="41" t="s">
        <v>329</v>
      </c>
      <c r="B273" s="49" t="s">
        <v>1011</v>
      </c>
      <c r="C273" s="41" t="s">
        <v>501</v>
      </c>
      <c r="D273" s="41" t="s">
        <v>446</v>
      </c>
      <c r="E273" s="41"/>
      <c r="F273" s="41"/>
      <c r="G273" s="41"/>
      <c r="H273" s="41" t="s">
        <v>372</v>
      </c>
    </row>
    <row r="274" customFormat="false" ht="12.75" hidden="false" customHeight="true" outlineLevel="0" collapsed="false">
      <c r="A274" s="41" t="s">
        <v>329</v>
      </c>
      <c r="B274" s="49" t="s">
        <v>1011</v>
      </c>
      <c r="C274" s="41" t="s">
        <v>621</v>
      </c>
      <c r="D274" s="41" t="s">
        <v>616</v>
      </c>
      <c r="E274" s="41"/>
      <c r="F274" s="41"/>
      <c r="G274" s="41"/>
      <c r="H274" s="41" t="s">
        <v>372</v>
      </c>
    </row>
    <row r="275" customFormat="false" ht="12.75" hidden="false" customHeight="true" outlineLevel="0" collapsed="false">
      <c r="A275" s="41" t="s">
        <v>329</v>
      </c>
      <c r="B275" s="49" t="s">
        <v>1011</v>
      </c>
      <c r="C275" s="41" t="s">
        <v>508</v>
      </c>
      <c r="D275" s="41" t="s">
        <v>446</v>
      </c>
      <c r="E275" s="41"/>
      <c r="F275" s="41"/>
      <c r="G275" s="41"/>
      <c r="H275" s="41" t="s">
        <v>372</v>
      </c>
    </row>
    <row r="276" customFormat="false" ht="12.75" hidden="false" customHeight="true" outlineLevel="0" collapsed="false">
      <c r="A276" s="41" t="s">
        <v>329</v>
      </c>
      <c r="B276" s="49" t="s">
        <v>1011</v>
      </c>
      <c r="C276" s="41" t="s">
        <v>624</v>
      </c>
      <c r="D276" s="41" t="s">
        <v>616</v>
      </c>
      <c r="E276" s="41"/>
      <c r="F276" s="41"/>
      <c r="G276" s="41"/>
      <c r="H276" s="41" t="s">
        <v>372</v>
      </c>
    </row>
    <row r="277" customFormat="false" ht="12.75" hidden="false" customHeight="true" outlineLevel="0" collapsed="false">
      <c r="A277" s="41" t="s">
        <v>329</v>
      </c>
      <c r="B277" s="49" t="s">
        <v>1011</v>
      </c>
      <c r="C277" s="41" t="s">
        <v>614</v>
      </c>
      <c r="D277" s="41" t="s">
        <v>608</v>
      </c>
      <c r="E277" s="41"/>
      <c r="F277" s="41"/>
      <c r="G277" s="41"/>
      <c r="H277" s="41" t="s">
        <v>372</v>
      </c>
    </row>
    <row r="278" customFormat="false" ht="12.75" hidden="false" customHeight="true" outlineLevel="0" collapsed="false">
      <c r="A278" s="41" t="s">
        <v>329</v>
      </c>
      <c r="B278" s="49" t="s">
        <v>1011</v>
      </c>
      <c r="C278" s="41" t="s">
        <v>880</v>
      </c>
      <c r="D278" s="41" t="s">
        <v>875</v>
      </c>
      <c r="E278" s="41"/>
      <c r="F278" s="41"/>
      <c r="G278" s="41"/>
      <c r="H278" s="41" t="s">
        <v>372</v>
      </c>
    </row>
    <row r="279" customFormat="false" ht="12.75" hidden="false" customHeight="true" outlineLevel="0" collapsed="false">
      <c r="A279" s="41" t="s">
        <v>329</v>
      </c>
      <c r="B279" s="49" t="s">
        <v>1012</v>
      </c>
      <c r="C279" s="41" t="s">
        <v>683</v>
      </c>
      <c r="D279" s="41" t="s">
        <v>653</v>
      </c>
      <c r="E279" s="41" t="s">
        <v>648</v>
      </c>
      <c r="F279" s="41" t="s">
        <v>338</v>
      </c>
      <c r="G279" s="41" t="s">
        <v>383</v>
      </c>
      <c r="H279" s="41" t="s">
        <v>344</v>
      </c>
    </row>
    <row r="280" customFormat="false" ht="12.75" hidden="false" customHeight="true" outlineLevel="0" collapsed="false">
      <c r="A280" s="41" t="s">
        <v>329</v>
      </c>
      <c r="B280" s="49" t="s">
        <v>1012</v>
      </c>
      <c r="C280" s="41" t="s">
        <v>686</v>
      </c>
      <c r="D280" s="41" t="s">
        <v>653</v>
      </c>
      <c r="E280" s="41" t="s">
        <v>648</v>
      </c>
      <c r="F280" s="41" t="s">
        <v>338</v>
      </c>
      <c r="G280" s="41" t="s">
        <v>383</v>
      </c>
      <c r="H280" s="41" t="s">
        <v>344</v>
      </c>
    </row>
    <row r="281" customFormat="false" ht="12.75" hidden="false" customHeight="true" outlineLevel="0" collapsed="false">
      <c r="A281" s="41" t="s">
        <v>329</v>
      </c>
      <c r="B281" s="49" t="s">
        <v>1012</v>
      </c>
      <c r="C281" s="41" t="s">
        <v>688</v>
      </c>
      <c r="D281" s="41" t="s">
        <v>653</v>
      </c>
      <c r="E281" s="41" t="s">
        <v>648</v>
      </c>
      <c r="F281" s="41" t="s">
        <v>338</v>
      </c>
      <c r="G281" s="41" t="s">
        <v>383</v>
      </c>
      <c r="H281" s="41" t="s">
        <v>344</v>
      </c>
    </row>
    <row r="282" customFormat="false" ht="12.75" hidden="false" customHeight="true" outlineLevel="0" collapsed="false">
      <c r="A282" s="41" t="s">
        <v>329</v>
      </c>
      <c r="B282" s="49" t="s">
        <v>1012</v>
      </c>
      <c r="C282" s="41" t="s">
        <v>694</v>
      </c>
      <c r="D282" s="41" t="s">
        <v>653</v>
      </c>
      <c r="E282" s="41" t="s">
        <v>648</v>
      </c>
      <c r="F282" s="41" t="s">
        <v>338</v>
      </c>
      <c r="G282" s="41" t="s">
        <v>383</v>
      </c>
      <c r="H282" s="41" t="s">
        <v>344</v>
      </c>
    </row>
    <row r="283" customFormat="false" ht="12.75" hidden="false" customHeight="true" outlineLevel="0" collapsed="false">
      <c r="A283" s="41" t="s">
        <v>329</v>
      </c>
      <c r="B283" s="49" t="s">
        <v>1012</v>
      </c>
      <c r="C283" s="41" t="s">
        <v>698</v>
      </c>
      <c r="D283" s="41" t="s">
        <v>653</v>
      </c>
      <c r="E283" s="41" t="s">
        <v>648</v>
      </c>
      <c r="F283" s="41" t="s">
        <v>348</v>
      </c>
      <c r="G283" s="41" t="s">
        <v>383</v>
      </c>
      <c r="H283" s="41" t="s">
        <v>344</v>
      </c>
    </row>
    <row r="284" customFormat="false" ht="12.75" hidden="false" customHeight="true" outlineLevel="0" collapsed="false">
      <c r="A284" s="41" t="s">
        <v>329</v>
      </c>
      <c r="B284" s="49" t="s">
        <v>1012</v>
      </c>
      <c r="C284" s="41" t="s">
        <v>732</v>
      </c>
      <c r="D284" s="41" t="s">
        <v>653</v>
      </c>
      <c r="E284" s="41" t="s">
        <v>483</v>
      </c>
      <c r="F284" s="41" t="s">
        <v>338</v>
      </c>
      <c r="G284" s="41" t="s">
        <v>383</v>
      </c>
      <c r="H284" s="41" t="s">
        <v>344</v>
      </c>
    </row>
    <row r="285" customFormat="false" ht="12.75" hidden="false" customHeight="true" outlineLevel="0" collapsed="false">
      <c r="A285" s="41" t="s">
        <v>329</v>
      </c>
      <c r="B285" s="49" t="s">
        <v>1012</v>
      </c>
      <c r="C285" s="41" t="s">
        <v>742</v>
      </c>
      <c r="D285" s="41" t="s">
        <v>653</v>
      </c>
      <c r="E285" s="41" t="s">
        <v>648</v>
      </c>
      <c r="F285" s="41" t="s">
        <v>338</v>
      </c>
      <c r="G285" s="41" t="s">
        <v>383</v>
      </c>
      <c r="H285" s="41" t="s">
        <v>344</v>
      </c>
    </row>
    <row r="286" customFormat="false" ht="12.75" hidden="false" customHeight="true" outlineLevel="0" collapsed="false">
      <c r="A286" s="41" t="s">
        <v>329</v>
      </c>
      <c r="B286" s="49" t="s">
        <v>1012</v>
      </c>
      <c r="C286" s="41" t="s">
        <v>748</v>
      </c>
      <c r="D286" s="41" t="s">
        <v>653</v>
      </c>
      <c r="E286" s="41" t="s">
        <v>648</v>
      </c>
      <c r="F286" s="41" t="s">
        <v>338</v>
      </c>
      <c r="G286" s="41" t="s">
        <v>383</v>
      </c>
      <c r="H286" s="41" t="s">
        <v>344</v>
      </c>
    </row>
    <row r="287" customFormat="false" ht="12.75" hidden="false" customHeight="true" outlineLevel="0" collapsed="false">
      <c r="A287" s="41" t="s">
        <v>329</v>
      </c>
      <c r="B287" s="49" t="s">
        <v>1012</v>
      </c>
      <c r="C287" s="41" t="s">
        <v>49</v>
      </c>
      <c r="D287" s="41" t="s">
        <v>653</v>
      </c>
      <c r="E287" s="41" t="s">
        <v>648</v>
      </c>
      <c r="F287" s="41" t="s">
        <v>348</v>
      </c>
      <c r="G287" s="41" t="s">
        <v>383</v>
      </c>
      <c r="H287" s="41" t="s">
        <v>344</v>
      </c>
    </row>
    <row r="288" customFormat="false" ht="12.75" hidden="false" customHeight="true" outlineLevel="0" collapsed="false">
      <c r="A288" s="41" t="s">
        <v>329</v>
      </c>
      <c r="B288" s="49" t="s">
        <v>1012</v>
      </c>
      <c r="C288" s="41" t="s">
        <v>778</v>
      </c>
      <c r="D288" s="41" t="s">
        <v>653</v>
      </c>
      <c r="E288" s="41" t="s">
        <v>631</v>
      </c>
      <c r="F288" s="41" t="s">
        <v>348</v>
      </c>
      <c r="G288" s="41" t="s">
        <v>383</v>
      </c>
      <c r="H288" s="41" t="s">
        <v>344</v>
      </c>
    </row>
    <row r="289" customFormat="false" ht="12.75" hidden="false" customHeight="true" outlineLevel="0" collapsed="false">
      <c r="A289" s="41" t="s">
        <v>329</v>
      </c>
      <c r="B289" s="49" t="s">
        <v>1012</v>
      </c>
      <c r="C289" s="41" t="s">
        <v>798</v>
      </c>
      <c r="D289" s="41" t="s">
        <v>653</v>
      </c>
      <c r="E289" s="41" t="s">
        <v>648</v>
      </c>
      <c r="F289" s="41" t="s">
        <v>348</v>
      </c>
      <c r="G289" s="41" t="s">
        <v>383</v>
      </c>
      <c r="H289" s="41" t="s">
        <v>344</v>
      </c>
    </row>
    <row r="290" customFormat="false" ht="12.75" hidden="false" customHeight="true" outlineLevel="0" collapsed="false">
      <c r="A290" s="41" t="s">
        <v>329</v>
      </c>
      <c r="B290" s="49" t="s">
        <v>1012</v>
      </c>
      <c r="C290" s="41" t="s">
        <v>800</v>
      </c>
      <c r="D290" s="41" t="s">
        <v>653</v>
      </c>
      <c r="E290" s="41" t="s">
        <v>648</v>
      </c>
      <c r="F290" s="41" t="s">
        <v>348</v>
      </c>
      <c r="G290" s="41" t="s">
        <v>383</v>
      </c>
      <c r="H290" s="41" t="s">
        <v>344</v>
      </c>
    </row>
    <row r="291" customFormat="false" ht="12.75" hidden="false" customHeight="true" outlineLevel="0" collapsed="false">
      <c r="A291" s="41" t="s">
        <v>329</v>
      </c>
      <c r="B291" s="49" t="s">
        <v>1012</v>
      </c>
      <c r="C291" s="41" t="s">
        <v>806</v>
      </c>
      <c r="D291" s="41" t="s">
        <v>653</v>
      </c>
      <c r="E291" s="41" t="s">
        <v>648</v>
      </c>
      <c r="F291" s="41" t="s">
        <v>348</v>
      </c>
      <c r="G291" s="41" t="s">
        <v>383</v>
      </c>
      <c r="H291" s="41" t="s">
        <v>344</v>
      </c>
    </row>
    <row r="292" customFormat="false" ht="12.75" hidden="false" customHeight="true" outlineLevel="0" collapsed="false">
      <c r="A292" s="41" t="s">
        <v>329</v>
      </c>
      <c r="B292" s="49" t="s">
        <v>1012</v>
      </c>
      <c r="C292" s="41" t="s">
        <v>808</v>
      </c>
      <c r="D292" s="41" t="s">
        <v>653</v>
      </c>
      <c r="E292" s="41" t="s">
        <v>648</v>
      </c>
      <c r="F292" s="41" t="s">
        <v>348</v>
      </c>
      <c r="G292" s="41" t="s">
        <v>383</v>
      </c>
      <c r="H292" s="41" t="s">
        <v>344</v>
      </c>
    </row>
    <row r="293" customFormat="false" ht="12.75" hidden="false" customHeight="true" outlineLevel="0" collapsed="false">
      <c r="A293" s="41" t="s">
        <v>329</v>
      </c>
      <c r="B293" s="49" t="s">
        <v>1012</v>
      </c>
      <c r="C293" s="41" t="s">
        <v>820</v>
      </c>
      <c r="D293" s="41" t="s">
        <v>653</v>
      </c>
      <c r="E293" s="41" t="s">
        <v>631</v>
      </c>
      <c r="F293" s="41" t="s">
        <v>348</v>
      </c>
      <c r="G293" s="41" t="s">
        <v>383</v>
      </c>
      <c r="H293" s="41" t="s">
        <v>344</v>
      </c>
    </row>
    <row r="294" customFormat="false" ht="12.75" hidden="false" customHeight="true" outlineLevel="0" collapsed="false">
      <c r="A294" s="38" t="s">
        <v>329</v>
      </c>
      <c r="B294" s="38" t="s">
        <v>496</v>
      </c>
      <c r="C294" s="38" t="s">
        <v>445</v>
      </c>
      <c r="D294" s="38" t="s">
        <v>446</v>
      </c>
      <c r="E294" s="38" t="s">
        <v>447</v>
      </c>
      <c r="F294" s="38" t="s">
        <v>338</v>
      </c>
      <c r="G294" s="38" t="s">
        <v>337</v>
      </c>
      <c r="H294" s="38" t="s">
        <v>344</v>
      </c>
    </row>
    <row r="295" customFormat="false" ht="12.75" hidden="false" customHeight="true" outlineLevel="0" collapsed="false">
      <c r="A295" s="39" t="s">
        <v>329</v>
      </c>
      <c r="B295" s="39" t="s">
        <v>496</v>
      </c>
      <c r="C295" s="39" t="s">
        <v>494</v>
      </c>
      <c r="D295" s="39" t="s">
        <v>446</v>
      </c>
      <c r="E295" s="39" t="s">
        <v>495</v>
      </c>
      <c r="F295" s="39" t="s">
        <v>338</v>
      </c>
      <c r="G295" s="39" t="s">
        <v>337</v>
      </c>
      <c r="H295" s="39" t="s">
        <v>344</v>
      </c>
    </row>
    <row r="296" customFormat="false" ht="12.75" hidden="false" customHeight="true" outlineLevel="0" collapsed="false">
      <c r="A296" s="38" t="s">
        <v>329</v>
      </c>
      <c r="B296" s="38" t="s">
        <v>496</v>
      </c>
      <c r="C296" s="38" t="s">
        <v>498</v>
      </c>
      <c r="D296" s="38" t="s">
        <v>446</v>
      </c>
      <c r="E296" s="38" t="s">
        <v>495</v>
      </c>
      <c r="F296" s="38" t="s">
        <v>338</v>
      </c>
      <c r="G296" s="38" t="s">
        <v>337</v>
      </c>
      <c r="H296" s="38" t="s">
        <v>344</v>
      </c>
    </row>
    <row r="297" customFormat="false" ht="12.75" hidden="false" customHeight="true" outlineLevel="0" collapsed="false">
      <c r="A297" s="39" t="s">
        <v>329</v>
      </c>
      <c r="B297" s="39" t="s">
        <v>496</v>
      </c>
      <c r="C297" s="39" t="s">
        <v>520</v>
      </c>
      <c r="D297" s="39" t="s">
        <v>446</v>
      </c>
      <c r="E297" s="39" t="s">
        <v>495</v>
      </c>
      <c r="F297" s="39" t="s">
        <v>338</v>
      </c>
      <c r="G297" s="39" t="s">
        <v>337</v>
      </c>
      <c r="H297" s="39" t="s">
        <v>344</v>
      </c>
    </row>
    <row r="298" customFormat="false" ht="12.75" hidden="false" customHeight="true" outlineLevel="0" collapsed="false">
      <c r="A298" s="38" t="s">
        <v>329</v>
      </c>
      <c r="B298" s="38" t="s">
        <v>496</v>
      </c>
      <c r="C298" s="38" t="s">
        <v>538</v>
      </c>
      <c r="D298" s="38" t="s">
        <v>446</v>
      </c>
      <c r="E298" s="38" t="s">
        <v>474</v>
      </c>
      <c r="F298" s="38" t="s">
        <v>348</v>
      </c>
      <c r="G298" s="38" t="s">
        <v>337</v>
      </c>
      <c r="H298" s="38" t="s">
        <v>344</v>
      </c>
    </row>
    <row r="299" customFormat="false" ht="12.75" hidden="false" customHeight="true" outlineLevel="0" collapsed="false">
      <c r="A299" s="39" t="s">
        <v>329</v>
      </c>
      <c r="B299" s="39" t="s">
        <v>496</v>
      </c>
      <c r="C299" s="39" t="s">
        <v>541</v>
      </c>
      <c r="D299" s="39" t="s">
        <v>446</v>
      </c>
      <c r="E299" s="39" t="s">
        <v>474</v>
      </c>
      <c r="F299" s="39" t="s">
        <v>348</v>
      </c>
      <c r="G299" s="39" t="s">
        <v>337</v>
      </c>
      <c r="H299" s="39" t="s">
        <v>344</v>
      </c>
    </row>
    <row r="300" customFormat="false" ht="12.75" hidden="false" customHeight="true" outlineLevel="0" collapsed="false">
      <c r="A300" s="38" t="s">
        <v>329</v>
      </c>
      <c r="B300" s="38" t="s">
        <v>995</v>
      </c>
      <c r="C300" s="38" t="s">
        <v>473</v>
      </c>
      <c r="D300" s="38" t="s">
        <v>446</v>
      </c>
      <c r="E300" s="38" t="s">
        <v>474</v>
      </c>
      <c r="F300" s="38" t="s">
        <v>338</v>
      </c>
      <c r="G300" s="38" t="s">
        <v>337</v>
      </c>
      <c r="H300" s="38" t="s">
        <v>344</v>
      </c>
    </row>
    <row r="301" customFormat="false" ht="12.75" hidden="false" customHeight="true" outlineLevel="0" collapsed="false">
      <c r="A301" s="39" t="s">
        <v>329</v>
      </c>
      <c r="B301" s="39" t="s">
        <v>995</v>
      </c>
      <c r="C301" s="39" t="s">
        <v>524</v>
      </c>
      <c r="D301" s="39" t="s">
        <v>446</v>
      </c>
      <c r="E301" s="39" t="s">
        <v>474</v>
      </c>
      <c r="F301" s="39" t="s">
        <v>338</v>
      </c>
      <c r="G301" s="39" t="s">
        <v>337</v>
      </c>
      <c r="H301" s="39" t="s">
        <v>344</v>
      </c>
    </row>
    <row r="302" customFormat="false" ht="12.75" hidden="false" customHeight="true" outlineLevel="0" collapsed="false">
      <c r="A302" s="38" t="s">
        <v>329</v>
      </c>
      <c r="B302" s="38" t="s">
        <v>995</v>
      </c>
      <c r="C302" s="38" t="s">
        <v>526</v>
      </c>
      <c r="D302" s="38" t="s">
        <v>446</v>
      </c>
      <c r="E302" s="38" t="s">
        <v>474</v>
      </c>
      <c r="F302" s="38" t="s">
        <v>338</v>
      </c>
      <c r="G302" s="38" t="s">
        <v>337</v>
      </c>
      <c r="H302" s="38" t="s">
        <v>344</v>
      </c>
    </row>
    <row r="303" customFormat="false" ht="12.75" hidden="false" customHeight="true" outlineLevel="0" collapsed="false">
      <c r="A303" s="39" t="s">
        <v>329</v>
      </c>
      <c r="B303" s="39" t="s">
        <v>995</v>
      </c>
      <c r="C303" s="39" t="s">
        <v>538</v>
      </c>
      <c r="D303" s="39" t="s">
        <v>446</v>
      </c>
      <c r="E303" s="39" t="s">
        <v>474</v>
      </c>
      <c r="F303" s="39" t="s">
        <v>348</v>
      </c>
      <c r="G303" s="39" t="s">
        <v>337</v>
      </c>
      <c r="H303" s="39" t="s">
        <v>344</v>
      </c>
    </row>
    <row r="304" customFormat="false" ht="12.75" hidden="false" customHeight="true" outlineLevel="0" collapsed="false">
      <c r="A304" s="38" t="s">
        <v>329</v>
      </c>
      <c r="B304" s="38" t="s">
        <v>995</v>
      </c>
      <c r="C304" s="38" t="s">
        <v>541</v>
      </c>
      <c r="D304" s="38" t="s">
        <v>446</v>
      </c>
      <c r="E304" s="38" t="s">
        <v>474</v>
      </c>
      <c r="F304" s="38" t="s">
        <v>348</v>
      </c>
      <c r="G304" s="38" t="s">
        <v>337</v>
      </c>
      <c r="H304" s="38" t="s">
        <v>344</v>
      </c>
    </row>
    <row r="305" customFormat="false" ht="12.75" hidden="false" customHeight="true" outlineLevel="0" collapsed="false">
      <c r="A305" s="39" t="s">
        <v>329</v>
      </c>
      <c r="B305" s="39" t="s">
        <v>459</v>
      </c>
      <c r="C305" s="39" t="s">
        <v>578</v>
      </c>
      <c r="D305" s="39" t="s">
        <v>579</v>
      </c>
      <c r="E305" s="39" t="s">
        <v>581</v>
      </c>
      <c r="F305" s="39" t="s">
        <v>338</v>
      </c>
      <c r="G305" s="39" t="s">
        <v>337</v>
      </c>
      <c r="H305" s="39" t="s">
        <v>344</v>
      </c>
    </row>
    <row r="306" customFormat="false" ht="12.75" hidden="false" customHeight="true" outlineLevel="0" collapsed="false">
      <c r="A306" s="38" t="s">
        <v>329</v>
      </c>
      <c r="B306" s="38" t="s">
        <v>459</v>
      </c>
      <c r="C306" s="38" t="s">
        <v>585</v>
      </c>
      <c r="D306" s="38" t="s">
        <v>579</v>
      </c>
      <c r="E306" s="38" t="s">
        <v>581</v>
      </c>
      <c r="F306" s="38" t="s">
        <v>348</v>
      </c>
      <c r="G306" s="38" t="s">
        <v>337</v>
      </c>
      <c r="H306" s="38" t="s">
        <v>344</v>
      </c>
    </row>
    <row r="307" customFormat="false" ht="12.75" hidden="false" customHeight="true" outlineLevel="0" collapsed="false">
      <c r="A307" s="39" t="s">
        <v>329</v>
      </c>
      <c r="B307" s="39" t="s">
        <v>459</v>
      </c>
      <c r="C307" s="39" t="s">
        <v>774</v>
      </c>
      <c r="D307" s="39" t="s">
        <v>653</v>
      </c>
      <c r="E307" s="39" t="s">
        <v>581</v>
      </c>
      <c r="F307" s="39" t="s">
        <v>348</v>
      </c>
      <c r="G307" s="39" t="s">
        <v>383</v>
      </c>
      <c r="H307" s="39" t="s">
        <v>344</v>
      </c>
    </row>
    <row r="308" customFormat="false" ht="12.75" hidden="false" customHeight="true" outlineLevel="0" collapsed="false">
      <c r="A308" s="38" t="s">
        <v>329</v>
      </c>
      <c r="B308" s="38" t="s">
        <v>459</v>
      </c>
      <c r="C308" s="38" t="s">
        <v>457</v>
      </c>
      <c r="D308" s="38" t="s">
        <v>446</v>
      </c>
      <c r="E308" s="38" t="s">
        <v>447</v>
      </c>
      <c r="F308" s="38" t="s">
        <v>338</v>
      </c>
      <c r="G308" s="38" t="s">
        <v>337</v>
      </c>
      <c r="H308" s="38" t="s">
        <v>344</v>
      </c>
    </row>
    <row r="309" customFormat="false" ht="12.75" hidden="false" customHeight="true" outlineLevel="0" collapsed="false">
      <c r="A309" s="39" t="s">
        <v>329</v>
      </c>
      <c r="B309" s="39" t="s">
        <v>459</v>
      </c>
      <c r="C309" s="39" t="s">
        <v>467</v>
      </c>
      <c r="D309" s="39" t="s">
        <v>446</v>
      </c>
      <c r="E309" s="39" t="s">
        <v>447</v>
      </c>
      <c r="F309" s="39" t="s">
        <v>338</v>
      </c>
      <c r="G309" s="39" t="s">
        <v>337</v>
      </c>
      <c r="H309" s="39" t="s">
        <v>344</v>
      </c>
    </row>
    <row r="310" customFormat="false" ht="12.75" hidden="false" customHeight="true" outlineLevel="0" collapsed="false">
      <c r="A310" s="38" t="s">
        <v>329</v>
      </c>
      <c r="B310" s="38" t="s">
        <v>459</v>
      </c>
      <c r="C310" s="38" t="s">
        <v>958</v>
      </c>
      <c r="D310" s="38" t="s">
        <v>922</v>
      </c>
      <c r="E310" s="38" t="s">
        <v>581</v>
      </c>
      <c r="F310" s="38" t="s">
        <v>906</v>
      </c>
      <c r="G310" s="38" t="s">
        <v>925</v>
      </c>
      <c r="H310" s="38" t="s">
        <v>344</v>
      </c>
    </row>
    <row r="311" customFormat="false" ht="12.75" hidden="false" customHeight="true" outlineLevel="0" collapsed="false">
      <c r="A311" s="39" t="s">
        <v>329</v>
      </c>
      <c r="B311" s="39" t="s">
        <v>997</v>
      </c>
      <c r="C311" s="39" t="s">
        <v>585</v>
      </c>
      <c r="D311" s="39" t="s">
        <v>579</v>
      </c>
      <c r="E311" s="39" t="s">
        <v>581</v>
      </c>
      <c r="F311" s="39" t="s">
        <v>348</v>
      </c>
      <c r="G311" s="39" t="s">
        <v>337</v>
      </c>
      <c r="H311" s="39" t="s">
        <v>344</v>
      </c>
    </row>
    <row r="312" customFormat="false" ht="12.75" hidden="false" customHeight="true" outlineLevel="0" collapsed="false">
      <c r="A312" s="38" t="s">
        <v>329</v>
      </c>
      <c r="B312" s="38" t="s">
        <v>997</v>
      </c>
      <c r="C312" s="38" t="s">
        <v>478</v>
      </c>
      <c r="D312" s="38" t="s">
        <v>446</v>
      </c>
      <c r="E312" s="38" t="s">
        <v>453</v>
      </c>
      <c r="F312" s="38" t="s">
        <v>338</v>
      </c>
      <c r="G312" s="38" t="s">
        <v>337</v>
      </c>
      <c r="H312" s="38" t="s">
        <v>344</v>
      </c>
    </row>
    <row r="313" customFormat="false" ht="12.75" hidden="false" customHeight="true" outlineLevel="0" collapsed="false">
      <c r="A313" s="39" t="s">
        <v>329</v>
      </c>
      <c r="B313" s="39" t="s">
        <v>997</v>
      </c>
      <c r="C313" s="39" t="s">
        <v>928</v>
      </c>
      <c r="D313" s="39" t="s">
        <v>922</v>
      </c>
      <c r="E313" s="39" t="s">
        <v>453</v>
      </c>
      <c r="F313" s="39" t="s">
        <v>906</v>
      </c>
      <c r="G313" s="39" t="s">
        <v>925</v>
      </c>
      <c r="H313" s="39" t="s">
        <v>344</v>
      </c>
    </row>
    <row r="314" customFormat="false" ht="12.75" hidden="false" customHeight="true" outlineLevel="0" collapsed="false">
      <c r="A314" s="38" t="s">
        <v>329</v>
      </c>
      <c r="B314" s="38" t="s">
        <v>997</v>
      </c>
      <c r="C314" s="38" t="s">
        <v>958</v>
      </c>
      <c r="D314" s="38" t="s">
        <v>922</v>
      </c>
      <c r="E314" s="38" t="s">
        <v>581</v>
      </c>
      <c r="F314" s="38" t="s">
        <v>906</v>
      </c>
      <c r="G314" s="38" t="s">
        <v>925</v>
      </c>
      <c r="H314" s="38" t="s">
        <v>344</v>
      </c>
    </row>
    <row r="315" customFormat="false" ht="12.75" hidden="false" customHeight="true" outlineLevel="0" collapsed="false">
      <c r="A315" s="39" t="s">
        <v>329</v>
      </c>
      <c r="B315" s="39" t="s">
        <v>723</v>
      </c>
      <c r="C315" s="39" t="s">
        <v>636</v>
      </c>
      <c r="D315" s="39" t="s">
        <v>626</v>
      </c>
      <c r="E315" s="39" t="s">
        <v>631</v>
      </c>
      <c r="F315" s="39" t="s">
        <v>348</v>
      </c>
      <c r="G315" s="39" t="s">
        <v>383</v>
      </c>
      <c r="H315" s="39" t="s">
        <v>344</v>
      </c>
    </row>
    <row r="316" customFormat="false" ht="12.75" hidden="false" customHeight="true" outlineLevel="0" collapsed="false">
      <c r="A316" s="38" t="s">
        <v>329</v>
      </c>
      <c r="B316" s="38" t="s">
        <v>723</v>
      </c>
      <c r="C316" s="38" t="s">
        <v>722</v>
      </c>
      <c r="D316" s="38" t="s">
        <v>653</v>
      </c>
      <c r="E316" s="38" t="s">
        <v>631</v>
      </c>
      <c r="F316" s="38" t="s">
        <v>338</v>
      </c>
      <c r="G316" s="38" t="s">
        <v>383</v>
      </c>
      <c r="H316" s="38" t="s">
        <v>344</v>
      </c>
    </row>
    <row r="317" customFormat="false" ht="12.75" hidden="false" customHeight="true" outlineLevel="0" collapsed="false">
      <c r="A317" s="39" t="s">
        <v>329</v>
      </c>
      <c r="B317" s="39" t="s">
        <v>723</v>
      </c>
      <c r="C317" s="39" t="s">
        <v>734</v>
      </c>
      <c r="D317" s="39" t="s">
        <v>653</v>
      </c>
      <c r="E317" s="39" t="s">
        <v>581</v>
      </c>
      <c r="F317" s="39" t="s">
        <v>338</v>
      </c>
      <c r="G317" s="39" t="s">
        <v>383</v>
      </c>
      <c r="H317" s="39" t="s">
        <v>344</v>
      </c>
    </row>
    <row r="318" customFormat="false" ht="12.75" hidden="false" customHeight="true" outlineLevel="0" collapsed="false">
      <c r="A318" s="38" t="s">
        <v>329</v>
      </c>
      <c r="B318" s="38" t="s">
        <v>454</v>
      </c>
      <c r="C318" s="38" t="s">
        <v>570</v>
      </c>
      <c r="D318" s="38" t="s">
        <v>571</v>
      </c>
      <c r="E318" s="38" t="s">
        <v>453</v>
      </c>
      <c r="F318" s="38" t="s">
        <v>338</v>
      </c>
      <c r="G318" s="38" t="s">
        <v>337</v>
      </c>
      <c r="H318" s="38" t="s">
        <v>344</v>
      </c>
    </row>
    <row r="319" customFormat="false" ht="12.75" hidden="false" customHeight="true" outlineLevel="0" collapsed="false">
      <c r="A319" s="39" t="s">
        <v>329</v>
      </c>
      <c r="B319" s="39" t="s">
        <v>454</v>
      </c>
      <c r="C319" s="39" t="s">
        <v>451</v>
      </c>
      <c r="D319" s="39" t="s">
        <v>446</v>
      </c>
      <c r="E319" s="39" t="s">
        <v>453</v>
      </c>
      <c r="F319" s="39" t="s">
        <v>338</v>
      </c>
      <c r="G319" s="39" t="s">
        <v>337</v>
      </c>
      <c r="H319" s="39" t="s">
        <v>344</v>
      </c>
    </row>
    <row r="320" customFormat="false" ht="12.75" hidden="false" customHeight="true" outlineLevel="0" collapsed="false">
      <c r="A320" s="38" t="s">
        <v>329</v>
      </c>
      <c r="B320" s="38" t="s">
        <v>454</v>
      </c>
      <c r="C320" s="38" t="s">
        <v>467</v>
      </c>
      <c r="D320" s="38" t="s">
        <v>446</v>
      </c>
      <c r="E320" s="38" t="s">
        <v>447</v>
      </c>
      <c r="F320" s="38" t="s">
        <v>338</v>
      </c>
      <c r="G320" s="38" t="s">
        <v>337</v>
      </c>
      <c r="H320" s="38" t="s">
        <v>344</v>
      </c>
    </row>
    <row r="321" customFormat="false" ht="12.75" hidden="false" customHeight="true" outlineLevel="0" collapsed="false">
      <c r="A321" s="39" t="s">
        <v>329</v>
      </c>
      <c r="B321" s="39" t="s">
        <v>454</v>
      </c>
      <c r="C321" s="39" t="s">
        <v>478</v>
      </c>
      <c r="D321" s="39" t="s">
        <v>446</v>
      </c>
      <c r="E321" s="39" t="s">
        <v>453</v>
      </c>
      <c r="F321" s="39" t="s">
        <v>338</v>
      </c>
      <c r="G321" s="39" t="s">
        <v>337</v>
      </c>
      <c r="H321" s="39" t="s">
        <v>344</v>
      </c>
    </row>
    <row r="322" customFormat="false" ht="12.75" hidden="false" customHeight="true" outlineLevel="0" collapsed="false">
      <c r="A322" s="38" t="s">
        <v>329</v>
      </c>
      <c r="B322" s="38" t="s">
        <v>454</v>
      </c>
      <c r="C322" s="38" t="s">
        <v>529</v>
      </c>
      <c r="D322" s="38" t="s">
        <v>446</v>
      </c>
      <c r="E322" s="38" t="s">
        <v>453</v>
      </c>
      <c r="F322" s="38" t="s">
        <v>338</v>
      </c>
      <c r="G322" s="38" t="s">
        <v>337</v>
      </c>
      <c r="H322" s="38" t="s">
        <v>344</v>
      </c>
    </row>
    <row r="323" customFormat="false" ht="12.75" hidden="false" customHeight="true" outlineLevel="0" collapsed="false">
      <c r="A323" s="39" t="s">
        <v>329</v>
      </c>
      <c r="B323" s="39" t="s">
        <v>454</v>
      </c>
      <c r="C323" s="39" t="s">
        <v>532</v>
      </c>
      <c r="D323" s="39" t="s">
        <v>446</v>
      </c>
      <c r="E323" s="39" t="s">
        <v>453</v>
      </c>
      <c r="F323" s="39" t="s">
        <v>338</v>
      </c>
      <c r="G323" s="39" t="s">
        <v>337</v>
      </c>
      <c r="H323" s="39" t="s">
        <v>344</v>
      </c>
    </row>
    <row r="324" customFormat="false" ht="12.75" hidden="false" customHeight="true" outlineLevel="0" collapsed="false">
      <c r="A324" s="38" t="s">
        <v>329</v>
      </c>
      <c r="B324" s="38" t="s">
        <v>454</v>
      </c>
      <c r="C324" s="38" t="s">
        <v>928</v>
      </c>
      <c r="D324" s="38" t="s">
        <v>922</v>
      </c>
      <c r="E324" s="38" t="s">
        <v>453</v>
      </c>
      <c r="F324" s="38" t="s">
        <v>906</v>
      </c>
      <c r="G324" s="38" t="s">
        <v>925</v>
      </c>
      <c r="H324" s="38" t="s">
        <v>344</v>
      </c>
    </row>
    <row r="325" customFormat="false" ht="12.75" hidden="false" customHeight="true" outlineLevel="0" collapsed="false">
      <c r="A325" s="39" t="s">
        <v>329</v>
      </c>
      <c r="B325" s="39" t="s">
        <v>1007</v>
      </c>
      <c r="C325" s="39" t="s">
        <v>445</v>
      </c>
      <c r="D325" s="39" t="s">
        <v>446</v>
      </c>
      <c r="E325" s="39" t="s">
        <v>447</v>
      </c>
      <c r="F325" s="39" t="s">
        <v>338</v>
      </c>
      <c r="G325" s="39" t="s">
        <v>337</v>
      </c>
      <c r="H325" s="39" t="s">
        <v>344</v>
      </c>
    </row>
    <row r="326" customFormat="false" ht="12.75" hidden="false" customHeight="true" outlineLevel="0" collapsed="false">
      <c r="A326" s="38" t="s">
        <v>329</v>
      </c>
      <c r="B326" s="38" t="s">
        <v>564</v>
      </c>
      <c r="C326" s="38" t="s">
        <v>563</v>
      </c>
      <c r="D326" s="38" t="s">
        <v>544</v>
      </c>
      <c r="E326" s="38" t="s">
        <v>545</v>
      </c>
      <c r="F326" s="38" t="s">
        <v>338</v>
      </c>
      <c r="G326" s="38" t="s">
        <v>337</v>
      </c>
      <c r="H326" s="38" t="s">
        <v>344</v>
      </c>
    </row>
    <row r="327" customFormat="false" ht="12.75" hidden="false" customHeight="true" outlineLevel="0" collapsed="false">
      <c r="A327" s="39" t="s">
        <v>329</v>
      </c>
      <c r="B327" s="39" t="s">
        <v>990</v>
      </c>
      <c r="C327" s="39" t="s">
        <v>543</v>
      </c>
      <c r="D327" s="39" t="s">
        <v>544</v>
      </c>
      <c r="E327" s="39" t="s">
        <v>545</v>
      </c>
      <c r="F327" s="39" t="s">
        <v>338</v>
      </c>
      <c r="G327" s="39" t="s">
        <v>337</v>
      </c>
      <c r="H327" s="39" t="s">
        <v>344</v>
      </c>
    </row>
    <row r="328" customFormat="false" ht="12.75" hidden="false" customHeight="true" outlineLevel="0" collapsed="false">
      <c r="A328" s="38" t="s">
        <v>329</v>
      </c>
      <c r="B328" s="38" t="s">
        <v>990</v>
      </c>
      <c r="C328" s="38" t="s">
        <v>549</v>
      </c>
      <c r="D328" s="38" t="s">
        <v>544</v>
      </c>
      <c r="E328" s="38" t="s">
        <v>545</v>
      </c>
      <c r="F328" s="38" t="s">
        <v>338</v>
      </c>
      <c r="G328" s="38" t="s">
        <v>337</v>
      </c>
      <c r="H328" s="38" t="s">
        <v>344</v>
      </c>
    </row>
    <row r="329" customFormat="false" ht="12.75" hidden="false" customHeight="true" outlineLevel="0" collapsed="false">
      <c r="A329" s="39" t="s">
        <v>329</v>
      </c>
      <c r="B329" s="39" t="s">
        <v>990</v>
      </c>
      <c r="C329" s="39" t="s">
        <v>551</v>
      </c>
      <c r="D329" s="39" t="s">
        <v>544</v>
      </c>
      <c r="E329" s="39" t="s">
        <v>545</v>
      </c>
      <c r="F329" s="39" t="s">
        <v>338</v>
      </c>
      <c r="G329" s="39" t="s">
        <v>337</v>
      </c>
      <c r="H329" s="39" t="s">
        <v>344</v>
      </c>
    </row>
    <row r="330" customFormat="false" ht="12.75" hidden="false" customHeight="true" outlineLevel="0" collapsed="false">
      <c r="A330" s="38" t="s">
        <v>329</v>
      </c>
      <c r="B330" s="38" t="s">
        <v>990</v>
      </c>
      <c r="C330" s="38" t="s">
        <v>557</v>
      </c>
      <c r="D330" s="38" t="s">
        <v>544</v>
      </c>
      <c r="E330" s="38" t="s">
        <v>545</v>
      </c>
      <c r="F330" s="38" t="s">
        <v>338</v>
      </c>
      <c r="G330" s="38" t="s">
        <v>337</v>
      </c>
      <c r="H330" s="38" t="s">
        <v>344</v>
      </c>
    </row>
    <row r="331" customFormat="false" ht="12.75" hidden="false" customHeight="true" outlineLevel="0" collapsed="false">
      <c r="A331" s="39" t="s">
        <v>329</v>
      </c>
      <c r="B331" s="39" t="s">
        <v>990</v>
      </c>
      <c r="C331" s="39" t="s">
        <v>559</v>
      </c>
      <c r="D331" s="39" t="s">
        <v>544</v>
      </c>
      <c r="E331" s="39" t="s">
        <v>545</v>
      </c>
      <c r="F331" s="39" t="s">
        <v>338</v>
      </c>
      <c r="G331" s="39" t="s">
        <v>337</v>
      </c>
      <c r="H331" s="39" t="s">
        <v>344</v>
      </c>
    </row>
    <row r="332" customFormat="false" ht="12.75" hidden="false" customHeight="true" outlineLevel="0" collapsed="false">
      <c r="A332" s="38" t="s">
        <v>329</v>
      </c>
      <c r="B332" s="38" t="s">
        <v>990</v>
      </c>
      <c r="C332" s="38" t="s">
        <v>561</v>
      </c>
      <c r="D332" s="38" t="s">
        <v>544</v>
      </c>
      <c r="E332" s="38" t="s">
        <v>545</v>
      </c>
      <c r="F332" s="38" t="s">
        <v>338</v>
      </c>
      <c r="G332" s="38" t="s">
        <v>337</v>
      </c>
      <c r="H332" s="38" t="s">
        <v>344</v>
      </c>
    </row>
    <row r="333" customFormat="false" ht="12.75" hidden="false" customHeight="true" outlineLevel="0" collapsed="false">
      <c r="A333" s="39" t="s">
        <v>329</v>
      </c>
      <c r="B333" s="39" t="s">
        <v>990</v>
      </c>
      <c r="C333" s="39" t="s">
        <v>566</v>
      </c>
      <c r="D333" s="39" t="s">
        <v>544</v>
      </c>
      <c r="E333" s="39" t="s">
        <v>545</v>
      </c>
      <c r="F333" s="39" t="s">
        <v>348</v>
      </c>
      <c r="G333" s="39" t="s">
        <v>337</v>
      </c>
      <c r="H333" s="39" t="s">
        <v>344</v>
      </c>
    </row>
    <row r="334" customFormat="false" ht="12.75" hidden="false" customHeight="true" outlineLevel="0" collapsed="false">
      <c r="A334" s="38" t="s">
        <v>329</v>
      </c>
      <c r="B334" s="38" t="s">
        <v>990</v>
      </c>
      <c r="C334" s="38" t="s">
        <v>568</v>
      </c>
      <c r="D334" s="38" t="s">
        <v>544</v>
      </c>
      <c r="E334" s="38" t="s">
        <v>545</v>
      </c>
      <c r="F334" s="38" t="s">
        <v>348</v>
      </c>
      <c r="G334" s="38" t="s">
        <v>337</v>
      </c>
      <c r="H334" s="38" t="s">
        <v>344</v>
      </c>
    </row>
    <row r="335" customFormat="false" ht="12.75" hidden="false" customHeight="true" outlineLevel="0" collapsed="false">
      <c r="A335" s="39" t="s">
        <v>329</v>
      </c>
      <c r="B335" s="39" t="s">
        <v>989</v>
      </c>
      <c r="C335" s="39" t="s">
        <v>543</v>
      </c>
      <c r="D335" s="39" t="s">
        <v>544</v>
      </c>
      <c r="E335" s="39" t="s">
        <v>545</v>
      </c>
      <c r="F335" s="39" t="s">
        <v>338</v>
      </c>
      <c r="G335" s="39" t="s">
        <v>337</v>
      </c>
      <c r="H335" s="39" t="s">
        <v>344</v>
      </c>
    </row>
    <row r="336" customFormat="false" ht="12.75" hidden="false" customHeight="true" outlineLevel="0" collapsed="false">
      <c r="A336" s="38" t="s">
        <v>329</v>
      </c>
      <c r="B336" s="38" t="s">
        <v>989</v>
      </c>
      <c r="C336" s="38" t="s">
        <v>549</v>
      </c>
      <c r="D336" s="38" t="s">
        <v>544</v>
      </c>
      <c r="E336" s="38" t="s">
        <v>545</v>
      </c>
      <c r="F336" s="38" t="s">
        <v>338</v>
      </c>
      <c r="G336" s="38" t="s">
        <v>337</v>
      </c>
      <c r="H336" s="38" t="s">
        <v>344</v>
      </c>
    </row>
    <row r="337" customFormat="false" ht="12.75" hidden="false" customHeight="true" outlineLevel="0" collapsed="false">
      <c r="A337" s="39" t="s">
        <v>329</v>
      </c>
      <c r="B337" s="39" t="s">
        <v>989</v>
      </c>
      <c r="C337" s="39" t="s">
        <v>551</v>
      </c>
      <c r="D337" s="39" t="s">
        <v>544</v>
      </c>
      <c r="E337" s="39" t="s">
        <v>545</v>
      </c>
      <c r="F337" s="39" t="s">
        <v>338</v>
      </c>
      <c r="G337" s="39" t="s">
        <v>337</v>
      </c>
      <c r="H337" s="39" t="s">
        <v>344</v>
      </c>
    </row>
    <row r="338" customFormat="false" ht="12.75" hidden="false" customHeight="true" outlineLevel="0" collapsed="false">
      <c r="A338" s="38" t="s">
        <v>329</v>
      </c>
      <c r="B338" s="38" t="s">
        <v>989</v>
      </c>
      <c r="C338" s="38" t="s">
        <v>553</v>
      </c>
      <c r="D338" s="38" t="s">
        <v>544</v>
      </c>
      <c r="E338" s="38" t="s">
        <v>545</v>
      </c>
      <c r="F338" s="38" t="s">
        <v>338</v>
      </c>
      <c r="G338" s="38" t="s">
        <v>337</v>
      </c>
      <c r="H338" s="38" t="s">
        <v>344</v>
      </c>
    </row>
    <row r="339" customFormat="false" ht="12.75" hidden="false" customHeight="true" outlineLevel="0" collapsed="false">
      <c r="A339" s="39" t="s">
        <v>329</v>
      </c>
      <c r="B339" s="39" t="s">
        <v>989</v>
      </c>
      <c r="C339" s="39" t="s">
        <v>557</v>
      </c>
      <c r="D339" s="39" t="s">
        <v>544</v>
      </c>
      <c r="E339" s="39" t="s">
        <v>545</v>
      </c>
      <c r="F339" s="39" t="s">
        <v>338</v>
      </c>
      <c r="G339" s="39" t="s">
        <v>337</v>
      </c>
      <c r="H339" s="39" t="s">
        <v>344</v>
      </c>
    </row>
    <row r="340" customFormat="false" ht="12.75" hidden="false" customHeight="true" outlineLevel="0" collapsed="false">
      <c r="A340" s="38" t="s">
        <v>329</v>
      </c>
      <c r="B340" s="38" t="s">
        <v>989</v>
      </c>
      <c r="C340" s="38" t="s">
        <v>559</v>
      </c>
      <c r="D340" s="38" t="s">
        <v>544</v>
      </c>
      <c r="E340" s="38" t="s">
        <v>545</v>
      </c>
      <c r="F340" s="38" t="s">
        <v>338</v>
      </c>
      <c r="G340" s="38" t="s">
        <v>337</v>
      </c>
      <c r="H340" s="38" t="s">
        <v>344</v>
      </c>
    </row>
    <row r="341" customFormat="false" ht="12.75" hidden="false" customHeight="true" outlineLevel="0" collapsed="false">
      <c r="A341" s="39" t="s">
        <v>329</v>
      </c>
      <c r="B341" s="39" t="s">
        <v>989</v>
      </c>
      <c r="C341" s="39" t="s">
        <v>561</v>
      </c>
      <c r="D341" s="39" t="s">
        <v>544</v>
      </c>
      <c r="E341" s="39" t="s">
        <v>545</v>
      </c>
      <c r="F341" s="39" t="s">
        <v>338</v>
      </c>
      <c r="G341" s="39" t="s">
        <v>337</v>
      </c>
      <c r="H341" s="39" t="s">
        <v>344</v>
      </c>
    </row>
    <row r="342" customFormat="false" ht="12.75" hidden="false" customHeight="true" outlineLevel="0" collapsed="false">
      <c r="A342" s="38" t="s">
        <v>329</v>
      </c>
      <c r="B342" s="38" t="s">
        <v>989</v>
      </c>
      <c r="C342" s="38" t="s">
        <v>566</v>
      </c>
      <c r="D342" s="38" t="s">
        <v>544</v>
      </c>
      <c r="E342" s="38" t="s">
        <v>545</v>
      </c>
      <c r="F342" s="38" t="s">
        <v>348</v>
      </c>
      <c r="G342" s="38" t="s">
        <v>337</v>
      </c>
      <c r="H342" s="38" t="s">
        <v>344</v>
      </c>
    </row>
    <row r="343" customFormat="false" ht="12.75" hidden="false" customHeight="true" outlineLevel="0" collapsed="false">
      <c r="A343" s="39" t="s">
        <v>329</v>
      </c>
      <c r="B343" s="39" t="s">
        <v>989</v>
      </c>
      <c r="C343" s="39" t="s">
        <v>568</v>
      </c>
      <c r="D343" s="39" t="s">
        <v>544</v>
      </c>
      <c r="E343" s="39" t="s">
        <v>545</v>
      </c>
      <c r="F343" s="39" t="s">
        <v>348</v>
      </c>
      <c r="G343" s="39" t="s">
        <v>337</v>
      </c>
      <c r="H343" s="39" t="s">
        <v>344</v>
      </c>
    </row>
    <row r="344" customFormat="false" ht="12.75" hidden="false" customHeight="true" outlineLevel="0" collapsed="false">
      <c r="A344" s="38" t="s">
        <v>329</v>
      </c>
      <c r="B344" s="38" t="s">
        <v>1008</v>
      </c>
      <c r="C344" s="38" t="s">
        <v>553</v>
      </c>
      <c r="D344" s="38" t="s">
        <v>544</v>
      </c>
      <c r="E344" s="38" t="s">
        <v>545</v>
      </c>
      <c r="F344" s="38" t="s">
        <v>338</v>
      </c>
      <c r="G344" s="38" t="s">
        <v>337</v>
      </c>
      <c r="H344" s="38" t="s">
        <v>344</v>
      </c>
    </row>
    <row r="345" customFormat="false" ht="12.75" hidden="false" customHeight="true" outlineLevel="0" collapsed="false">
      <c r="A345" s="39" t="s">
        <v>329</v>
      </c>
      <c r="B345" s="39" t="s">
        <v>847</v>
      </c>
      <c r="C345" s="39" t="s">
        <v>844</v>
      </c>
      <c r="D345" s="39" t="s">
        <v>845</v>
      </c>
      <c r="E345" s="39" t="s">
        <v>846</v>
      </c>
      <c r="F345" s="39" t="s">
        <v>338</v>
      </c>
      <c r="G345" s="39" t="s">
        <v>359</v>
      </c>
      <c r="H345" s="39" t="s">
        <v>344</v>
      </c>
    </row>
    <row r="346" customFormat="false" ht="12.75" hidden="false" customHeight="true" outlineLevel="0" collapsed="false">
      <c r="A346" s="38" t="s">
        <v>329</v>
      </c>
      <c r="B346" s="38" t="s">
        <v>847</v>
      </c>
      <c r="C346" s="38" t="s">
        <v>849</v>
      </c>
      <c r="D346" s="38" t="s">
        <v>845</v>
      </c>
      <c r="E346" s="38" t="s">
        <v>846</v>
      </c>
      <c r="F346" s="38" t="s">
        <v>338</v>
      </c>
      <c r="G346" s="38" t="s">
        <v>359</v>
      </c>
      <c r="H346" s="38" t="s">
        <v>344</v>
      </c>
    </row>
    <row r="347" customFormat="false" ht="12.75" hidden="false" customHeight="true" outlineLevel="0" collapsed="false">
      <c r="A347" s="39" t="s">
        <v>329</v>
      </c>
      <c r="B347" s="39" t="s">
        <v>847</v>
      </c>
      <c r="C347" s="39" t="s">
        <v>680</v>
      </c>
      <c r="D347" s="39" t="s">
        <v>653</v>
      </c>
      <c r="E347" s="39" t="s">
        <v>392</v>
      </c>
      <c r="F347" s="39" t="s">
        <v>338</v>
      </c>
      <c r="G347" s="39" t="s">
        <v>383</v>
      </c>
      <c r="H347" s="39" t="s">
        <v>344</v>
      </c>
    </row>
    <row r="348" customFormat="false" ht="12.75" hidden="false" customHeight="true" outlineLevel="0" collapsed="false">
      <c r="A348" s="38" t="s">
        <v>329</v>
      </c>
      <c r="B348" s="38" t="s">
        <v>847</v>
      </c>
      <c r="C348" s="38" t="s">
        <v>764</v>
      </c>
      <c r="D348" s="38" t="s">
        <v>653</v>
      </c>
      <c r="E348" s="38" t="s">
        <v>392</v>
      </c>
      <c r="F348" s="38" t="s">
        <v>348</v>
      </c>
      <c r="G348" s="38" t="s">
        <v>383</v>
      </c>
      <c r="H348" s="38" t="s">
        <v>344</v>
      </c>
    </row>
    <row r="349" customFormat="false" ht="12.75" hidden="false" customHeight="true" outlineLevel="0" collapsed="false">
      <c r="A349" s="39" t="s">
        <v>329</v>
      </c>
      <c r="B349" s="39" t="s">
        <v>847</v>
      </c>
      <c r="C349" s="39" t="s">
        <v>766</v>
      </c>
      <c r="D349" s="39" t="s">
        <v>653</v>
      </c>
      <c r="E349" s="39" t="s">
        <v>392</v>
      </c>
      <c r="F349" s="39" t="s">
        <v>348</v>
      </c>
      <c r="G349" s="39" t="s">
        <v>383</v>
      </c>
      <c r="H349" s="39" t="s">
        <v>344</v>
      </c>
    </row>
    <row r="350" customFormat="false" ht="12.75" hidden="false" customHeight="true" outlineLevel="0" collapsed="false">
      <c r="A350" s="38" t="s">
        <v>329</v>
      </c>
      <c r="B350" s="38" t="s">
        <v>847</v>
      </c>
      <c r="C350" s="38" t="s">
        <v>780</v>
      </c>
      <c r="D350" s="38" t="s">
        <v>653</v>
      </c>
      <c r="E350" s="38" t="s">
        <v>581</v>
      </c>
      <c r="F350" s="38" t="s">
        <v>348</v>
      </c>
      <c r="G350" s="38" t="s">
        <v>383</v>
      </c>
      <c r="H350" s="38" t="s">
        <v>344</v>
      </c>
    </row>
    <row r="351" customFormat="false" ht="12.75" hidden="false" customHeight="true" outlineLevel="0" collapsed="false">
      <c r="A351" s="39" t="s">
        <v>329</v>
      </c>
      <c r="B351" s="39" t="s">
        <v>1002</v>
      </c>
      <c r="C351" s="39" t="s">
        <v>376</v>
      </c>
      <c r="D351" s="39" t="s">
        <v>335</v>
      </c>
      <c r="E351" s="39" t="s">
        <v>378</v>
      </c>
      <c r="F351" s="39" t="s">
        <v>338</v>
      </c>
      <c r="G351" s="39" t="s">
        <v>337</v>
      </c>
      <c r="H351" s="39" t="s">
        <v>344</v>
      </c>
    </row>
    <row r="352" customFormat="false" ht="12.75" hidden="false" customHeight="true" outlineLevel="0" collapsed="false">
      <c r="A352" s="38" t="s">
        <v>329</v>
      </c>
      <c r="B352" s="38" t="s">
        <v>1002</v>
      </c>
      <c r="C352" s="38" t="s">
        <v>752</v>
      </c>
      <c r="D352" s="38" t="s">
        <v>653</v>
      </c>
      <c r="E352" s="38" t="s">
        <v>378</v>
      </c>
      <c r="F352" s="38" t="s">
        <v>338</v>
      </c>
      <c r="G352" s="38" t="s">
        <v>383</v>
      </c>
      <c r="H352" s="38" t="s">
        <v>344</v>
      </c>
    </row>
    <row r="353" customFormat="false" ht="12.75" hidden="false" customHeight="true" outlineLevel="0" collapsed="false">
      <c r="A353" s="39" t="s">
        <v>329</v>
      </c>
      <c r="B353" s="39" t="s">
        <v>1002</v>
      </c>
      <c r="C353" s="39" t="s">
        <v>936</v>
      </c>
      <c r="D353" s="39" t="s">
        <v>922</v>
      </c>
      <c r="E353" s="39" t="s">
        <v>378</v>
      </c>
      <c r="F353" s="39" t="s">
        <v>906</v>
      </c>
      <c r="G353" s="39" t="s">
        <v>925</v>
      </c>
      <c r="H353" s="39" t="s">
        <v>344</v>
      </c>
    </row>
    <row r="354" customFormat="false" ht="12.75" hidden="false" customHeight="true" outlineLevel="0" collapsed="false">
      <c r="A354" s="38" t="s">
        <v>329</v>
      </c>
      <c r="B354" s="38" t="s">
        <v>627</v>
      </c>
      <c r="C354" s="38" t="s">
        <v>97</v>
      </c>
      <c r="D354" s="38" t="s">
        <v>860</v>
      </c>
      <c r="E354" s="38" t="s">
        <v>355</v>
      </c>
      <c r="F354" s="38" t="s">
        <v>338</v>
      </c>
      <c r="G354" s="38" t="s">
        <v>337</v>
      </c>
      <c r="H354" s="38" t="s">
        <v>344</v>
      </c>
    </row>
    <row r="355" customFormat="false" ht="12.75" hidden="false" customHeight="true" outlineLevel="0" collapsed="false">
      <c r="A355" s="39" t="s">
        <v>329</v>
      </c>
      <c r="B355" s="39" t="s">
        <v>627</v>
      </c>
      <c r="C355" s="39" t="s">
        <v>625</v>
      </c>
      <c r="D355" s="39" t="s">
        <v>626</v>
      </c>
      <c r="E355" s="39" t="s">
        <v>340</v>
      </c>
      <c r="F355" s="39" t="s">
        <v>338</v>
      </c>
      <c r="G355" s="39" t="s">
        <v>337</v>
      </c>
      <c r="H355" s="39" t="s">
        <v>344</v>
      </c>
    </row>
    <row r="356" customFormat="false" ht="12.75" hidden="false" customHeight="true" outlineLevel="0" collapsed="false">
      <c r="A356" s="38" t="s">
        <v>329</v>
      </c>
      <c r="B356" s="38" t="s">
        <v>627</v>
      </c>
      <c r="C356" s="38" t="s">
        <v>857</v>
      </c>
      <c r="D356" s="38" t="s">
        <v>845</v>
      </c>
      <c r="E356" s="38" t="s">
        <v>846</v>
      </c>
      <c r="F356" s="38" t="s">
        <v>348</v>
      </c>
      <c r="G356" s="38" t="s">
        <v>359</v>
      </c>
      <c r="H356" s="38" t="s">
        <v>344</v>
      </c>
    </row>
    <row r="357" customFormat="false" ht="12.75" hidden="false" customHeight="true" outlineLevel="0" collapsed="false">
      <c r="A357" s="39" t="s">
        <v>329</v>
      </c>
      <c r="B357" s="39" t="s">
        <v>627</v>
      </c>
      <c r="C357" s="39" t="s">
        <v>629</v>
      </c>
      <c r="D357" s="39" t="s">
        <v>626</v>
      </c>
      <c r="E357" s="39" t="s">
        <v>631</v>
      </c>
      <c r="F357" s="39" t="s">
        <v>338</v>
      </c>
      <c r="G357" s="39" t="s">
        <v>337</v>
      </c>
      <c r="H357" s="39" t="s">
        <v>344</v>
      </c>
    </row>
    <row r="358" customFormat="false" ht="12.75" hidden="false" customHeight="true" outlineLevel="0" collapsed="false">
      <c r="A358" s="38" t="s">
        <v>329</v>
      </c>
      <c r="B358" s="38" t="s">
        <v>627</v>
      </c>
      <c r="C358" s="38" t="s">
        <v>633</v>
      </c>
      <c r="D358" s="38" t="s">
        <v>626</v>
      </c>
      <c r="E358" s="38" t="s">
        <v>631</v>
      </c>
      <c r="F358" s="38" t="s">
        <v>338</v>
      </c>
      <c r="G358" s="38" t="s">
        <v>337</v>
      </c>
      <c r="H358" s="38" t="s">
        <v>344</v>
      </c>
    </row>
    <row r="359" customFormat="false" ht="12.75" hidden="false" customHeight="true" outlineLevel="0" collapsed="false">
      <c r="A359" s="39" t="s">
        <v>329</v>
      </c>
      <c r="B359" s="39" t="s">
        <v>627</v>
      </c>
      <c r="C359" s="39" t="s">
        <v>636</v>
      </c>
      <c r="D359" s="39" t="s">
        <v>626</v>
      </c>
      <c r="E359" s="39" t="s">
        <v>631</v>
      </c>
      <c r="F359" s="39" t="s">
        <v>348</v>
      </c>
      <c r="G359" s="39" t="s">
        <v>383</v>
      </c>
      <c r="H359" s="39" t="s">
        <v>344</v>
      </c>
    </row>
    <row r="360" customFormat="false" ht="12.75" hidden="false" customHeight="true" outlineLevel="0" collapsed="false">
      <c r="A360" s="38" t="s">
        <v>329</v>
      </c>
      <c r="B360" s="38" t="s">
        <v>627</v>
      </c>
      <c r="C360" s="38" t="s">
        <v>639</v>
      </c>
      <c r="D360" s="38" t="s">
        <v>626</v>
      </c>
      <c r="E360" s="38" t="s">
        <v>631</v>
      </c>
      <c r="F360" s="38" t="s">
        <v>348</v>
      </c>
      <c r="G360" s="38" t="s">
        <v>337</v>
      </c>
      <c r="H360" s="38" t="s">
        <v>344</v>
      </c>
    </row>
    <row r="361" customFormat="false" ht="12.75" hidden="false" customHeight="true" outlineLevel="0" collapsed="false">
      <c r="A361" s="39" t="s">
        <v>329</v>
      </c>
      <c r="B361" s="39" t="s">
        <v>627</v>
      </c>
      <c r="C361" s="39" t="s">
        <v>641</v>
      </c>
      <c r="D361" s="39" t="s">
        <v>626</v>
      </c>
      <c r="E361" s="39" t="s">
        <v>631</v>
      </c>
      <c r="F361" s="39" t="s">
        <v>348</v>
      </c>
      <c r="G361" s="39" t="s">
        <v>383</v>
      </c>
      <c r="H361" s="39" t="s">
        <v>344</v>
      </c>
    </row>
    <row r="362" customFormat="false" ht="12.75" hidden="false" customHeight="true" outlineLevel="0" collapsed="false">
      <c r="A362" s="38" t="s">
        <v>329</v>
      </c>
      <c r="B362" s="38" t="s">
        <v>627</v>
      </c>
      <c r="C362" s="38" t="s">
        <v>386</v>
      </c>
      <c r="D362" s="38" t="s">
        <v>335</v>
      </c>
      <c r="E362" s="38" t="s">
        <v>355</v>
      </c>
      <c r="F362" s="38" t="s">
        <v>338</v>
      </c>
      <c r="G362" s="38" t="s">
        <v>337</v>
      </c>
      <c r="H362" s="38" t="s">
        <v>344</v>
      </c>
    </row>
    <row r="363" customFormat="false" ht="12.75" hidden="false" customHeight="true" outlineLevel="0" collapsed="false">
      <c r="A363" s="39" t="s">
        <v>329</v>
      </c>
      <c r="B363" s="39" t="s">
        <v>627</v>
      </c>
      <c r="C363" s="39" t="s">
        <v>283</v>
      </c>
      <c r="D363" s="39" t="s">
        <v>860</v>
      </c>
      <c r="E363" s="39" t="s">
        <v>366</v>
      </c>
      <c r="F363" s="39" t="s">
        <v>348</v>
      </c>
      <c r="G363" s="39" t="s">
        <v>337</v>
      </c>
      <c r="H363" s="39" t="s">
        <v>344</v>
      </c>
    </row>
    <row r="364" customFormat="false" ht="12.75" hidden="false" customHeight="true" outlineLevel="0" collapsed="false">
      <c r="A364" s="38" t="s">
        <v>329</v>
      </c>
      <c r="B364" s="38" t="s">
        <v>627</v>
      </c>
      <c r="C364" s="38" t="s">
        <v>665</v>
      </c>
      <c r="D364" s="38" t="s">
        <v>653</v>
      </c>
      <c r="E364" s="38" t="s">
        <v>648</v>
      </c>
      <c r="F364" s="38" t="s">
        <v>338</v>
      </c>
      <c r="G364" s="38" t="s">
        <v>383</v>
      </c>
      <c r="H364" s="38" t="s">
        <v>344</v>
      </c>
    </row>
    <row r="365" customFormat="false" ht="12.75" hidden="false" customHeight="true" outlineLevel="0" collapsed="false">
      <c r="A365" s="39" t="s">
        <v>329</v>
      </c>
      <c r="B365" s="39" t="s">
        <v>627</v>
      </c>
      <c r="C365" s="39" t="s">
        <v>678</v>
      </c>
      <c r="D365" s="39" t="s">
        <v>653</v>
      </c>
      <c r="E365" s="39" t="s">
        <v>648</v>
      </c>
      <c r="F365" s="39" t="s">
        <v>338</v>
      </c>
      <c r="G365" s="39" t="s">
        <v>383</v>
      </c>
      <c r="H365" s="39" t="s">
        <v>344</v>
      </c>
    </row>
    <row r="366" customFormat="false" ht="12.75" hidden="false" customHeight="true" outlineLevel="0" collapsed="false">
      <c r="A366" s="38" t="s">
        <v>329</v>
      </c>
      <c r="B366" s="38" t="s">
        <v>627</v>
      </c>
      <c r="C366" s="38" t="s">
        <v>680</v>
      </c>
      <c r="D366" s="38" t="s">
        <v>653</v>
      </c>
      <c r="E366" s="38" t="s">
        <v>392</v>
      </c>
      <c r="F366" s="38" t="s">
        <v>338</v>
      </c>
      <c r="G366" s="38" t="s">
        <v>383</v>
      </c>
      <c r="H366" s="38" t="s">
        <v>344</v>
      </c>
    </row>
    <row r="367" customFormat="false" ht="12.75" hidden="false" customHeight="true" outlineLevel="0" collapsed="false">
      <c r="A367" s="39" t="s">
        <v>329</v>
      </c>
      <c r="B367" s="39" t="s">
        <v>627</v>
      </c>
      <c r="C367" s="39" t="s">
        <v>690</v>
      </c>
      <c r="D367" s="39" t="s">
        <v>653</v>
      </c>
      <c r="E367" s="39" t="s">
        <v>631</v>
      </c>
      <c r="F367" s="39" t="s">
        <v>338</v>
      </c>
      <c r="G367" s="39" t="s">
        <v>383</v>
      </c>
      <c r="H367" s="39" t="s">
        <v>344</v>
      </c>
    </row>
    <row r="368" customFormat="false" ht="12.75" hidden="false" customHeight="true" outlineLevel="0" collapsed="false">
      <c r="A368" s="38" t="s">
        <v>329</v>
      </c>
      <c r="B368" s="38" t="s">
        <v>627</v>
      </c>
      <c r="C368" s="38" t="s">
        <v>701</v>
      </c>
      <c r="D368" s="38" t="s">
        <v>653</v>
      </c>
      <c r="E368" s="38" t="s">
        <v>453</v>
      </c>
      <c r="F368" s="38" t="s">
        <v>338</v>
      </c>
      <c r="G368" s="38" t="s">
        <v>383</v>
      </c>
      <c r="H368" s="38" t="s">
        <v>344</v>
      </c>
    </row>
    <row r="369" customFormat="false" ht="12.75" hidden="false" customHeight="true" outlineLevel="0" collapsed="false">
      <c r="A369" s="39" t="s">
        <v>329</v>
      </c>
      <c r="B369" s="39" t="s">
        <v>627</v>
      </c>
      <c r="C369" s="39" t="s">
        <v>703</v>
      </c>
      <c r="D369" s="39" t="s">
        <v>653</v>
      </c>
      <c r="E369" s="39" t="s">
        <v>340</v>
      </c>
      <c r="F369" s="39" t="s">
        <v>338</v>
      </c>
      <c r="G369" s="39" t="s">
        <v>383</v>
      </c>
      <c r="H369" s="39" t="s">
        <v>344</v>
      </c>
    </row>
    <row r="370" customFormat="false" ht="12.75" hidden="false" customHeight="true" outlineLevel="0" collapsed="false">
      <c r="A370" s="38" t="s">
        <v>329</v>
      </c>
      <c r="B370" s="38" t="s">
        <v>627</v>
      </c>
      <c r="C370" s="38" t="s">
        <v>705</v>
      </c>
      <c r="D370" s="38" t="s">
        <v>653</v>
      </c>
      <c r="E370" s="38" t="s">
        <v>648</v>
      </c>
      <c r="F370" s="38" t="s">
        <v>338</v>
      </c>
      <c r="G370" s="38" t="s">
        <v>383</v>
      </c>
      <c r="H370" s="38" t="s">
        <v>344</v>
      </c>
    </row>
    <row r="371" customFormat="false" ht="12.75" hidden="false" customHeight="true" outlineLevel="0" collapsed="false">
      <c r="A371" s="39" t="s">
        <v>329</v>
      </c>
      <c r="B371" s="39" t="s">
        <v>627</v>
      </c>
      <c r="C371" s="39" t="s">
        <v>712</v>
      </c>
      <c r="D371" s="39" t="s">
        <v>653</v>
      </c>
      <c r="E371" s="39" t="s">
        <v>631</v>
      </c>
      <c r="F371" s="39" t="s">
        <v>338</v>
      </c>
      <c r="G371" s="39" t="s">
        <v>383</v>
      </c>
      <c r="H371" s="39" t="s">
        <v>344</v>
      </c>
    </row>
    <row r="372" customFormat="false" ht="12.75" hidden="false" customHeight="true" outlineLevel="0" collapsed="false">
      <c r="A372" s="38" t="s">
        <v>329</v>
      </c>
      <c r="B372" s="38" t="s">
        <v>627</v>
      </c>
      <c r="C372" s="38" t="s">
        <v>714</v>
      </c>
      <c r="D372" s="38" t="s">
        <v>653</v>
      </c>
      <c r="E372" s="38" t="s">
        <v>392</v>
      </c>
      <c r="F372" s="38" t="s">
        <v>338</v>
      </c>
      <c r="G372" s="38" t="s">
        <v>383</v>
      </c>
      <c r="H372" s="38" t="s">
        <v>344</v>
      </c>
    </row>
    <row r="373" customFormat="false" ht="12.75" hidden="false" customHeight="true" outlineLevel="0" collapsed="false">
      <c r="A373" s="39" t="s">
        <v>329</v>
      </c>
      <c r="B373" s="39" t="s">
        <v>627</v>
      </c>
      <c r="C373" s="39" t="s">
        <v>716</v>
      </c>
      <c r="D373" s="39" t="s">
        <v>653</v>
      </c>
      <c r="E373" s="39" t="s">
        <v>648</v>
      </c>
      <c r="F373" s="39" t="s">
        <v>338</v>
      </c>
      <c r="G373" s="39" t="s">
        <v>383</v>
      </c>
      <c r="H373" s="39" t="s">
        <v>344</v>
      </c>
    </row>
    <row r="374" customFormat="false" ht="12.75" hidden="false" customHeight="true" outlineLevel="0" collapsed="false">
      <c r="A374" s="38" t="s">
        <v>329</v>
      </c>
      <c r="B374" s="38" t="s">
        <v>627</v>
      </c>
      <c r="C374" s="38" t="s">
        <v>720</v>
      </c>
      <c r="D374" s="38" t="s">
        <v>653</v>
      </c>
      <c r="E374" s="38" t="s">
        <v>340</v>
      </c>
      <c r="F374" s="38" t="s">
        <v>338</v>
      </c>
      <c r="G374" s="38" t="s">
        <v>383</v>
      </c>
      <c r="H374" s="38" t="s">
        <v>344</v>
      </c>
    </row>
    <row r="375" customFormat="false" ht="12.75" hidden="false" customHeight="true" outlineLevel="0" collapsed="false">
      <c r="A375" s="39" t="s">
        <v>329</v>
      </c>
      <c r="B375" s="39" t="s">
        <v>627</v>
      </c>
      <c r="C375" s="39" t="s">
        <v>746</v>
      </c>
      <c r="D375" s="39" t="s">
        <v>653</v>
      </c>
      <c r="E375" s="39" t="s">
        <v>340</v>
      </c>
      <c r="F375" s="39" t="s">
        <v>338</v>
      </c>
      <c r="G375" s="39" t="s">
        <v>383</v>
      </c>
      <c r="H375" s="39" t="s">
        <v>344</v>
      </c>
    </row>
    <row r="376" customFormat="false" ht="12.75" hidden="false" customHeight="true" outlineLevel="0" collapsed="false">
      <c r="A376" s="38" t="s">
        <v>329</v>
      </c>
      <c r="B376" s="38" t="s">
        <v>627</v>
      </c>
      <c r="C376" s="38" t="s">
        <v>758</v>
      </c>
      <c r="D376" s="38" t="s">
        <v>653</v>
      </c>
      <c r="E376" s="38" t="s">
        <v>355</v>
      </c>
      <c r="F376" s="38" t="s">
        <v>348</v>
      </c>
      <c r="G376" s="38" t="s">
        <v>383</v>
      </c>
      <c r="H376" s="38" t="s">
        <v>344</v>
      </c>
    </row>
    <row r="377" customFormat="false" ht="12.75" hidden="false" customHeight="true" outlineLevel="0" collapsed="false">
      <c r="A377" s="39" t="s">
        <v>329</v>
      </c>
      <c r="B377" s="39" t="s">
        <v>627</v>
      </c>
      <c r="C377" s="39" t="s">
        <v>764</v>
      </c>
      <c r="D377" s="39" t="s">
        <v>653</v>
      </c>
      <c r="E377" s="39" t="s">
        <v>392</v>
      </c>
      <c r="F377" s="39" t="s">
        <v>348</v>
      </c>
      <c r="G377" s="39" t="s">
        <v>383</v>
      </c>
      <c r="H377" s="39" t="s">
        <v>344</v>
      </c>
    </row>
    <row r="378" customFormat="false" ht="12.75" hidden="false" customHeight="true" outlineLevel="0" collapsed="false">
      <c r="A378" s="38" t="s">
        <v>329</v>
      </c>
      <c r="B378" s="38" t="s">
        <v>627</v>
      </c>
      <c r="C378" s="38" t="s">
        <v>766</v>
      </c>
      <c r="D378" s="38" t="s">
        <v>653</v>
      </c>
      <c r="E378" s="38" t="s">
        <v>392</v>
      </c>
      <c r="F378" s="38" t="s">
        <v>348</v>
      </c>
      <c r="G378" s="38" t="s">
        <v>383</v>
      </c>
      <c r="H378" s="38" t="s">
        <v>344</v>
      </c>
    </row>
    <row r="379" customFormat="false" ht="12.75" hidden="false" customHeight="true" outlineLevel="0" collapsed="false">
      <c r="A379" s="39" t="s">
        <v>329</v>
      </c>
      <c r="B379" s="39" t="s">
        <v>627</v>
      </c>
      <c r="C379" s="39" t="s">
        <v>780</v>
      </c>
      <c r="D379" s="39" t="s">
        <v>653</v>
      </c>
      <c r="E379" s="39" t="s">
        <v>581</v>
      </c>
      <c r="F379" s="39" t="s">
        <v>348</v>
      </c>
      <c r="G379" s="39" t="s">
        <v>383</v>
      </c>
      <c r="H379" s="39" t="s">
        <v>344</v>
      </c>
    </row>
    <row r="380" customFormat="false" ht="12.75" hidden="false" customHeight="true" outlineLevel="0" collapsed="false">
      <c r="A380" s="38" t="s">
        <v>329</v>
      </c>
      <c r="B380" s="38" t="s">
        <v>627</v>
      </c>
      <c r="C380" s="38" t="s">
        <v>786</v>
      </c>
      <c r="D380" s="38" t="s">
        <v>653</v>
      </c>
      <c r="E380" s="38" t="s">
        <v>355</v>
      </c>
      <c r="F380" s="38" t="s">
        <v>348</v>
      </c>
      <c r="G380" s="38" t="s">
        <v>383</v>
      </c>
      <c r="H380" s="38" t="s">
        <v>344</v>
      </c>
    </row>
    <row r="381" customFormat="false" ht="12.75" hidden="false" customHeight="true" outlineLevel="0" collapsed="false">
      <c r="A381" s="39" t="s">
        <v>329</v>
      </c>
      <c r="B381" s="39" t="s">
        <v>627</v>
      </c>
      <c r="C381" s="39" t="s">
        <v>789</v>
      </c>
      <c r="D381" s="39" t="s">
        <v>653</v>
      </c>
      <c r="E381" s="39" t="s">
        <v>340</v>
      </c>
      <c r="F381" s="39" t="s">
        <v>348</v>
      </c>
      <c r="G381" s="39" t="s">
        <v>383</v>
      </c>
      <c r="H381" s="39" t="s">
        <v>344</v>
      </c>
    </row>
    <row r="382" customFormat="false" ht="12.75" hidden="false" customHeight="true" outlineLevel="0" collapsed="false">
      <c r="A382" s="38" t="s">
        <v>329</v>
      </c>
      <c r="B382" s="38" t="s">
        <v>627</v>
      </c>
      <c r="C382" s="38" t="s">
        <v>791</v>
      </c>
      <c r="D382" s="38" t="s">
        <v>653</v>
      </c>
      <c r="E382" s="38" t="s">
        <v>340</v>
      </c>
      <c r="F382" s="38" t="s">
        <v>348</v>
      </c>
      <c r="G382" s="38" t="s">
        <v>383</v>
      </c>
      <c r="H382" s="38" t="s">
        <v>344</v>
      </c>
    </row>
    <row r="383" customFormat="false" ht="12.75" hidden="false" customHeight="true" outlineLevel="0" collapsed="false">
      <c r="A383" s="39" t="s">
        <v>329</v>
      </c>
      <c r="B383" s="39" t="s">
        <v>627</v>
      </c>
      <c r="C383" s="39" t="s">
        <v>793</v>
      </c>
      <c r="D383" s="39" t="s">
        <v>653</v>
      </c>
      <c r="E383" s="39" t="s">
        <v>340</v>
      </c>
      <c r="F383" s="39" t="s">
        <v>348</v>
      </c>
      <c r="G383" s="39" t="s">
        <v>383</v>
      </c>
      <c r="H383" s="39" t="s">
        <v>344</v>
      </c>
    </row>
    <row r="384" customFormat="false" ht="12.75" hidden="false" customHeight="true" outlineLevel="0" collapsed="false">
      <c r="A384" s="38" t="s">
        <v>329</v>
      </c>
      <c r="B384" s="38" t="s">
        <v>627</v>
      </c>
      <c r="C384" s="38" t="s">
        <v>803</v>
      </c>
      <c r="D384" s="38" t="s">
        <v>653</v>
      </c>
      <c r="E384" s="38" t="s">
        <v>392</v>
      </c>
      <c r="F384" s="38" t="s">
        <v>348</v>
      </c>
      <c r="G384" s="38" t="s">
        <v>383</v>
      </c>
      <c r="H384" s="38" t="s">
        <v>344</v>
      </c>
    </row>
    <row r="385" customFormat="false" ht="12.75" hidden="false" customHeight="true" outlineLevel="0" collapsed="false">
      <c r="A385" s="39" t="s">
        <v>329</v>
      </c>
      <c r="B385" s="39" t="s">
        <v>627</v>
      </c>
      <c r="C385" s="39" t="s">
        <v>487</v>
      </c>
      <c r="D385" s="39" t="s">
        <v>446</v>
      </c>
      <c r="E385" s="39" t="s">
        <v>488</v>
      </c>
      <c r="F385" s="39" t="s">
        <v>338</v>
      </c>
      <c r="G385" s="39" t="s">
        <v>337</v>
      </c>
      <c r="H385" s="39" t="s">
        <v>344</v>
      </c>
    </row>
    <row r="386" customFormat="false" ht="12.75" hidden="false" customHeight="true" outlineLevel="0" collapsed="false">
      <c r="A386" s="38" t="s">
        <v>329</v>
      </c>
      <c r="B386" s="38" t="s">
        <v>627</v>
      </c>
      <c r="C386" s="38" t="s">
        <v>492</v>
      </c>
      <c r="D386" s="38" t="s">
        <v>446</v>
      </c>
      <c r="E386" s="38" t="s">
        <v>488</v>
      </c>
      <c r="F386" s="38" t="s">
        <v>338</v>
      </c>
      <c r="G386" s="38" t="s">
        <v>337</v>
      </c>
      <c r="H386" s="38" t="s">
        <v>344</v>
      </c>
    </row>
    <row r="387" customFormat="false" ht="12.75" hidden="false" customHeight="true" outlineLevel="0" collapsed="false">
      <c r="A387" s="39" t="s">
        <v>329</v>
      </c>
      <c r="B387" s="39" t="s">
        <v>627</v>
      </c>
      <c r="C387" s="39" t="s">
        <v>609</v>
      </c>
      <c r="D387" s="39" t="s">
        <v>608</v>
      </c>
      <c r="E387" s="39" t="s">
        <v>610</v>
      </c>
      <c r="F387" s="39" t="s">
        <v>338</v>
      </c>
      <c r="G387" s="39" t="s">
        <v>337</v>
      </c>
      <c r="H387" s="39" t="s">
        <v>344</v>
      </c>
    </row>
    <row r="388" customFormat="false" ht="12.75" hidden="false" customHeight="true" outlineLevel="0" collapsed="false">
      <c r="A388" s="38" t="s">
        <v>329</v>
      </c>
      <c r="B388" s="38" t="s">
        <v>627</v>
      </c>
      <c r="C388" s="38" t="s">
        <v>647</v>
      </c>
      <c r="D388" s="38" t="s">
        <v>626</v>
      </c>
      <c r="E388" s="38" t="s">
        <v>648</v>
      </c>
      <c r="F388" s="38" t="s">
        <v>348</v>
      </c>
      <c r="G388" s="38" t="s">
        <v>337</v>
      </c>
      <c r="H388" s="38" t="s">
        <v>344</v>
      </c>
    </row>
    <row r="389" customFormat="false" ht="12.75" hidden="false" customHeight="true" outlineLevel="0" collapsed="false">
      <c r="A389" s="39" t="s">
        <v>329</v>
      </c>
      <c r="B389" s="39" t="s">
        <v>627</v>
      </c>
      <c r="C389" s="39" t="s">
        <v>650</v>
      </c>
      <c r="D389" s="39" t="s">
        <v>626</v>
      </c>
      <c r="E389" s="39" t="s">
        <v>648</v>
      </c>
      <c r="F389" s="39" t="s">
        <v>348</v>
      </c>
      <c r="G389" s="39" t="s">
        <v>337</v>
      </c>
      <c r="H389" s="39" t="s">
        <v>344</v>
      </c>
    </row>
    <row r="390" customFormat="false" ht="12.75" hidden="false" customHeight="true" outlineLevel="0" collapsed="false">
      <c r="A390" s="38" t="s">
        <v>329</v>
      </c>
      <c r="B390" s="38" t="s">
        <v>627</v>
      </c>
      <c r="C390" s="38" t="s">
        <v>921</v>
      </c>
      <c r="D390" s="38" t="s">
        <v>922</v>
      </c>
      <c r="E390" s="38" t="s">
        <v>648</v>
      </c>
      <c r="F390" s="38" t="s">
        <v>906</v>
      </c>
      <c r="G390" s="38" t="s">
        <v>925</v>
      </c>
      <c r="H390" s="38" t="s">
        <v>344</v>
      </c>
    </row>
    <row r="391" customFormat="false" ht="12.75" hidden="false" customHeight="true" outlineLevel="0" collapsed="false">
      <c r="A391" s="39" t="s">
        <v>329</v>
      </c>
      <c r="B391" s="39" t="s">
        <v>627</v>
      </c>
      <c r="C391" s="39" t="s">
        <v>932</v>
      </c>
      <c r="D391" s="39" t="s">
        <v>922</v>
      </c>
      <c r="E391" s="39" t="s">
        <v>610</v>
      </c>
      <c r="F391" s="39" t="s">
        <v>906</v>
      </c>
      <c r="G391" s="39" t="s">
        <v>925</v>
      </c>
      <c r="H391" s="39" t="s">
        <v>344</v>
      </c>
    </row>
    <row r="392" customFormat="false" ht="12.75" hidden="false" customHeight="true" outlineLevel="0" collapsed="false">
      <c r="A392" s="38" t="s">
        <v>329</v>
      </c>
      <c r="B392" s="38" t="s">
        <v>627</v>
      </c>
      <c r="C392" s="38" t="s">
        <v>950</v>
      </c>
      <c r="D392" s="38" t="s">
        <v>922</v>
      </c>
      <c r="E392" s="38" t="s">
        <v>488</v>
      </c>
      <c r="F392" s="38" t="s">
        <v>906</v>
      </c>
      <c r="G392" s="38" t="s">
        <v>925</v>
      </c>
      <c r="H392" s="38" t="s">
        <v>344</v>
      </c>
    </row>
    <row r="393" customFormat="false" ht="12.75" hidden="false" customHeight="true" outlineLevel="0" collapsed="false">
      <c r="A393" s="39" t="s">
        <v>329</v>
      </c>
      <c r="B393" s="39" t="s">
        <v>1009</v>
      </c>
      <c r="C393" s="39" t="s">
        <v>859</v>
      </c>
      <c r="D393" s="39" t="s">
        <v>860</v>
      </c>
      <c r="E393" s="39" t="s">
        <v>863</v>
      </c>
      <c r="F393" s="39" t="s">
        <v>348</v>
      </c>
      <c r="G393" s="39" t="s">
        <v>337</v>
      </c>
      <c r="H393" s="39" t="s">
        <v>344</v>
      </c>
    </row>
    <row r="394" customFormat="false" ht="12.75" hidden="false" customHeight="true" outlineLevel="0" collapsed="false">
      <c r="A394" s="38" t="s">
        <v>329</v>
      </c>
      <c r="B394" s="38" t="s">
        <v>870</v>
      </c>
      <c r="C394" s="38" t="s">
        <v>859</v>
      </c>
      <c r="D394" s="38" t="s">
        <v>860</v>
      </c>
      <c r="E394" s="38" t="s">
        <v>863</v>
      </c>
      <c r="F394" s="38" t="s">
        <v>348</v>
      </c>
      <c r="G394" s="38" t="s">
        <v>337</v>
      </c>
      <c r="H394" s="38" t="s">
        <v>344</v>
      </c>
    </row>
    <row r="395" customFormat="false" ht="12.75" hidden="false" customHeight="true" outlineLevel="0" collapsed="false">
      <c r="A395" s="39" t="s">
        <v>329</v>
      </c>
      <c r="B395" s="39" t="s">
        <v>870</v>
      </c>
      <c r="C395" s="39" t="s">
        <v>868</v>
      </c>
      <c r="D395" s="39" t="s">
        <v>860</v>
      </c>
      <c r="E395" s="39" t="s">
        <v>863</v>
      </c>
      <c r="F395" s="39" t="s">
        <v>348</v>
      </c>
      <c r="G395" s="39" t="s">
        <v>337</v>
      </c>
      <c r="H395" s="39" t="s">
        <v>344</v>
      </c>
    </row>
    <row r="396" customFormat="false" ht="12.75" hidden="false" customHeight="true" outlineLevel="0" collapsed="false">
      <c r="A396" s="38" t="s">
        <v>329</v>
      </c>
      <c r="B396" s="38" t="s">
        <v>830</v>
      </c>
      <c r="C396" s="38" t="s">
        <v>824</v>
      </c>
      <c r="D396" s="38" t="s">
        <v>825</v>
      </c>
      <c r="E396" s="38" t="s">
        <v>829</v>
      </c>
      <c r="F396" s="38" t="s">
        <v>348</v>
      </c>
      <c r="G396" s="38" t="s">
        <v>337</v>
      </c>
      <c r="H396" s="38" t="s">
        <v>344</v>
      </c>
    </row>
    <row r="397" customFormat="false" ht="12.75" hidden="false" customHeight="true" outlineLevel="0" collapsed="false">
      <c r="A397" s="39" t="s">
        <v>329</v>
      </c>
      <c r="B397" s="39" t="s">
        <v>830</v>
      </c>
      <c r="C397" s="39" t="s">
        <v>570</v>
      </c>
      <c r="D397" s="39" t="s">
        <v>571</v>
      </c>
      <c r="E397" s="39" t="s">
        <v>453</v>
      </c>
      <c r="F397" s="39" t="s">
        <v>338</v>
      </c>
      <c r="G397" s="39" t="s">
        <v>337</v>
      </c>
      <c r="H397" s="39" t="s">
        <v>344</v>
      </c>
    </row>
    <row r="398" customFormat="false" ht="12.75" hidden="false" customHeight="true" outlineLevel="0" collapsed="false">
      <c r="A398" s="38" t="s">
        <v>329</v>
      </c>
      <c r="B398" s="38" t="s">
        <v>830</v>
      </c>
      <c r="C398" s="38" t="s">
        <v>832</v>
      </c>
      <c r="D398" s="38" t="s">
        <v>825</v>
      </c>
      <c r="E398" s="38" t="s">
        <v>829</v>
      </c>
      <c r="F398" s="38" t="s">
        <v>348</v>
      </c>
      <c r="G398" s="38" t="s">
        <v>337</v>
      </c>
      <c r="H398" s="38" t="s">
        <v>344</v>
      </c>
    </row>
    <row r="399" customFormat="false" ht="12.75" hidden="false" customHeight="true" outlineLevel="0" collapsed="false">
      <c r="A399" s="39" t="s">
        <v>329</v>
      </c>
      <c r="B399" s="39" t="s">
        <v>830</v>
      </c>
      <c r="C399" s="39" t="s">
        <v>837</v>
      </c>
      <c r="D399" s="39" t="s">
        <v>825</v>
      </c>
      <c r="E399" s="39" t="s">
        <v>829</v>
      </c>
      <c r="F399" s="39" t="s">
        <v>348</v>
      </c>
      <c r="G399" s="39" t="s">
        <v>337</v>
      </c>
      <c r="H399" s="39" t="s">
        <v>344</v>
      </c>
    </row>
    <row r="400" customFormat="false" ht="12.75" hidden="false" customHeight="true" outlineLevel="0" collapsed="false">
      <c r="A400" s="38" t="s">
        <v>329</v>
      </c>
      <c r="B400" s="38" t="s">
        <v>830</v>
      </c>
      <c r="C400" s="38" t="s">
        <v>841</v>
      </c>
      <c r="D400" s="38" t="s">
        <v>825</v>
      </c>
      <c r="E400" s="38" t="s">
        <v>829</v>
      </c>
      <c r="F400" s="38" t="s">
        <v>348</v>
      </c>
      <c r="G400" s="38" t="s">
        <v>337</v>
      </c>
      <c r="H400" s="38" t="s">
        <v>344</v>
      </c>
    </row>
    <row r="401" customFormat="false" ht="12.75" hidden="false" customHeight="true" outlineLevel="0" collapsed="false">
      <c r="A401" s="39" t="s">
        <v>329</v>
      </c>
      <c r="B401" s="39" t="s">
        <v>830</v>
      </c>
      <c r="C401" s="39" t="s">
        <v>774</v>
      </c>
      <c r="D401" s="39" t="s">
        <v>653</v>
      </c>
      <c r="E401" s="39" t="s">
        <v>581</v>
      </c>
      <c r="F401" s="39" t="s">
        <v>348</v>
      </c>
      <c r="G401" s="39" t="s">
        <v>383</v>
      </c>
      <c r="H401" s="39" t="s">
        <v>344</v>
      </c>
    </row>
    <row r="402" customFormat="false" ht="12.75" hidden="false" customHeight="true" outlineLevel="0" collapsed="false">
      <c r="A402" s="38" t="s">
        <v>329</v>
      </c>
      <c r="B402" s="38" t="s">
        <v>830</v>
      </c>
      <c r="C402" s="38" t="s">
        <v>803</v>
      </c>
      <c r="D402" s="38" t="s">
        <v>653</v>
      </c>
      <c r="E402" s="38" t="s">
        <v>392</v>
      </c>
      <c r="F402" s="38" t="s">
        <v>348</v>
      </c>
      <c r="G402" s="38" t="s">
        <v>383</v>
      </c>
      <c r="H402" s="38" t="s">
        <v>344</v>
      </c>
    </row>
    <row r="403" customFormat="false" ht="12.75" hidden="false" customHeight="true" outlineLevel="0" collapsed="false">
      <c r="A403" s="39" t="s">
        <v>329</v>
      </c>
      <c r="B403" s="39" t="s">
        <v>830</v>
      </c>
      <c r="C403" s="39" t="s">
        <v>473</v>
      </c>
      <c r="D403" s="39" t="s">
        <v>446</v>
      </c>
      <c r="E403" s="39" t="s">
        <v>474</v>
      </c>
      <c r="F403" s="39" t="s">
        <v>338</v>
      </c>
      <c r="G403" s="39" t="s">
        <v>337</v>
      </c>
      <c r="H403" s="39" t="s">
        <v>344</v>
      </c>
    </row>
    <row r="404" customFormat="false" ht="12.75" hidden="false" customHeight="true" outlineLevel="0" collapsed="false">
      <c r="A404" s="38" t="s">
        <v>329</v>
      </c>
      <c r="B404" s="38" t="s">
        <v>830</v>
      </c>
      <c r="C404" s="38" t="s">
        <v>524</v>
      </c>
      <c r="D404" s="38" t="s">
        <v>446</v>
      </c>
      <c r="E404" s="38" t="s">
        <v>474</v>
      </c>
      <c r="F404" s="38" t="s">
        <v>338</v>
      </c>
      <c r="G404" s="38" t="s">
        <v>337</v>
      </c>
      <c r="H404" s="38" t="s">
        <v>344</v>
      </c>
    </row>
    <row r="405" customFormat="false" ht="12.75" hidden="false" customHeight="true" outlineLevel="0" collapsed="false">
      <c r="A405" s="39" t="s">
        <v>329</v>
      </c>
      <c r="B405" s="39" t="s">
        <v>830</v>
      </c>
      <c r="C405" s="39" t="s">
        <v>928</v>
      </c>
      <c r="D405" s="39" t="s">
        <v>922</v>
      </c>
      <c r="E405" s="39" t="s">
        <v>453</v>
      </c>
      <c r="F405" s="39" t="s">
        <v>906</v>
      </c>
      <c r="G405" s="39" t="s">
        <v>925</v>
      </c>
      <c r="H405" s="39" t="s">
        <v>344</v>
      </c>
    </row>
    <row r="406" customFormat="false" ht="12.75" hidden="false" customHeight="true" outlineLevel="0" collapsed="false">
      <c r="A406" s="38" t="s">
        <v>329</v>
      </c>
      <c r="B406" s="38" t="s">
        <v>576</v>
      </c>
      <c r="C406" s="38" t="s">
        <v>513</v>
      </c>
      <c r="D406" s="38" t="s">
        <v>446</v>
      </c>
      <c r="E406" s="38" t="s">
        <v>488</v>
      </c>
      <c r="F406" s="38" t="s">
        <v>338</v>
      </c>
      <c r="G406" s="38" t="s">
        <v>337</v>
      </c>
      <c r="H406" s="38" t="s">
        <v>344</v>
      </c>
    </row>
    <row r="407" customFormat="false" ht="12.75" hidden="false" customHeight="true" outlineLevel="0" collapsed="false">
      <c r="A407" s="39" t="s">
        <v>329</v>
      </c>
      <c r="B407" s="39" t="s">
        <v>576</v>
      </c>
      <c r="C407" s="39" t="s">
        <v>575</v>
      </c>
      <c r="D407" s="39" t="s">
        <v>571</v>
      </c>
      <c r="E407" s="39" t="s">
        <v>447</v>
      </c>
      <c r="F407" s="39" t="s">
        <v>348</v>
      </c>
      <c r="G407" s="39" t="s">
        <v>337</v>
      </c>
      <c r="H407" s="39" t="s">
        <v>344</v>
      </c>
    </row>
    <row r="408" customFormat="false" ht="12.75" hidden="false" customHeight="true" outlineLevel="0" collapsed="false">
      <c r="A408" s="38" t="s">
        <v>329</v>
      </c>
      <c r="B408" s="38" t="s">
        <v>576</v>
      </c>
      <c r="C408" s="38" t="s">
        <v>950</v>
      </c>
      <c r="D408" s="38" t="s">
        <v>922</v>
      </c>
      <c r="E408" s="38" t="s">
        <v>488</v>
      </c>
      <c r="F408" s="38" t="s">
        <v>906</v>
      </c>
      <c r="G408" s="38" t="s">
        <v>925</v>
      </c>
      <c r="H408" s="38" t="s">
        <v>344</v>
      </c>
    </row>
    <row r="409" customFormat="false" ht="12.75" hidden="false" customHeight="true" outlineLevel="0" collapsed="false">
      <c r="A409" s="39" t="s">
        <v>329</v>
      </c>
      <c r="B409" s="39" t="s">
        <v>464</v>
      </c>
      <c r="C409" s="39" t="s">
        <v>854</v>
      </c>
      <c r="D409" s="39" t="s">
        <v>845</v>
      </c>
      <c r="E409" s="39" t="s">
        <v>846</v>
      </c>
      <c r="F409" s="39" t="s">
        <v>338</v>
      </c>
      <c r="G409" s="39" t="s">
        <v>359</v>
      </c>
      <c r="H409" s="39" t="s">
        <v>344</v>
      </c>
    </row>
    <row r="410" customFormat="false" ht="12.75" hidden="false" customHeight="true" outlineLevel="0" collapsed="false">
      <c r="A410" s="38" t="s">
        <v>329</v>
      </c>
      <c r="B410" s="38" t="s">
        <v>464</v>
      </c>
      <c r="C410" s="38" t="s">
        <v>445</v>
      </c>
      <c r="D410" s="38" t="s">
        <v>446</v>
      </c>
      <c r="E410" s="38" t="s">
        <v>447</v>
      </c>
      <c r="F410" s="38" t="s">
        <v>338</v>
      </c>
      <c r="G410" s="38" t="s">
        <v>337</v>
      </c>
      <c r="H410" s="38" t="s">
        <v>344</v>
      </c>
    </row>
    <row r="411" customFormat="false" ht="12.75" hidden="false" customHeight="true" outlineLevel="0" collapsed="false">
      <c r="A411" s="39" t="s">
        <v>329</v>
      </c>
      <c r="B411" s="39" t="s">
        <v>464</v>
      </c>
      <c r="C411" s="39" t="s">
        <v>832</v>
      </c>
      <c r="D411" s="39" t="s">
        <v>825</v>
      </c>
      <c r="E411" s="39" t="s">
        <v>829</v>
      </c>
      <c r="F411" s="39" t="s">
        <v>348</v>
      </c>
      <c r="G411" s="39" t="s">
        <v>337</v>
      </c>
      <c r="H411" s="39" t="s">
        <v>344</v>
      </c>
    </row>
    <row r="412" customFormat="false" ht="12.75" hidden="false" customHeight="true" outlineLevel="0" collapsed="false">
      <c r="A412" s="38" t="s">
        <v>329</v>
      </c>
      <c r="B412" s="38" t="s">
        <v>464</v>
      </c>
      <c r="C412" s="38" t="s">
        <v>841</v>
      </c>
      <c r="D412" s="38" t="s">
        <v>825</v>
      </c>
      <c r="E412" s="38" t="s">
        <v>829</v>
      </c>
      <c r="F412" s="38" t="s">
        <v>348</v>
      </c>
      <c r="G412" s="38" t="s">
        <v>337</v>
      </c>
      <c r="H412" s="38" t="s">
        <v>344</v>
      </c>
    </row>
    <row r="413" customFormat="false" ht="12.75" hidden="false" customHeight="true" outlineLevel="0" collapsed="false">
      <c r="A413" s="39" t="s">
        <v>329</v>
      </c>
      <c r="B413" s="39" t="s">
        <v>464</v>
      </c>
      <c r="C413" s="39" t="s">
        <v>657</v>
      </c>
      <c r="D413" s="39" t="s">
        <v>653</v>
      </c>
      <c r="E413" s="39" t="s">
        <v>392</v>
      </c>
      <c r="F413" s="39" t="s">
        <v>338</v>
      </c>
      <c r="G413" s="39" t="s">
        <v>383</v>
      </c>
      <c r="H413" s="39" t="s">
        <v>344</v>
      </c>
    </row>
    <row r="414" customFormat="false" ht="12.75" hidden="false" customHeight="true" outlineLevel="0" collapsed="false">
      <c r="A414" s="38" t="s">
        <v>329</v>
      </c>
      <c r="B414" s="38" t="s">
        <v>464</v>
      </c>
      <c r="C414" s="38" t="s">
        <v>661</v>
      </c>
      <c r="D414" s="38" t="s">
        <v>653</v>
      </c>
      <c r="E414" s="38" t="s">
        <v>483</v>
      </c>
      <c r="F414" s="38" t="s">
        <v>338</v>
      </c>
      <c r="G414" s="38" t="s">
        <v>383</v>
      </c>
      <c r="H414" s="38" t="s">
        <v>344</v>
      </c>
    </row>
    <row r="415" customFormat="false" ht="12.75" hidden="false" customHeight="true" outlineLevel="0" collapsed="false">
      <c r="A415" s="39" t="s">
        <v>329</v>
      </c>
      <c r="B415" s="39" t="s">
        <v>464</v>
      </c>
      <c r="C415" s="39" t="s">
        <v>663</v>
      </c>
      <c r="D415" s="39" t="s">
        <v>653</v>
      </c>
      <c r="E415" s="39" t="s">
        <v>483</v>
      </c>
      <c r="F415" s="39" t="s">
        <v>338</v>
      </c>
      <c r="G415" s="39" t="s">
        <v>383</v>
      </c>
      <c r="H415" s="39" t="s">
        <v>344</v>
      </c>
    </row>
    <row r="416" customFormat="false" ht="12.75" hidden="false" customHeight="true" outlineLevel="0" collapsed="false">
      <c r="A416" s="38" t="s">
        <v>329</v>
      </c>
      <c r="B416" s="38" t="s">
        <v>464</v>
      </c>
      <c r="C416" s="38" t="s">
        <v>736</v>
      </c>
      <c r="D416" s="38" t="s">
        <v>653</v>
      </c>
      <c r="E416" s="38" t="s">
        <v>483</v>
      </c>
      <c r="F416" s="38" t="s">
        <v>338</v>
      </c>
      <c r="G416" s="38" t="s">
        <v>383</v>
      </c>
      <c r="H416" s="38" t="s">
        <v>344</v>
      </c>
    </row>
    <row r="417" customFormat="false" ht="12.75" hidden="false" customHeight="true" outlineLevel="0" collapsed="false">
      <c r="A417" s="39" t="s">
        <v>329</v>
      </c>
      <c r="B417" s="39" t="s">
        <v>464</v>
      </c>
      <c r="C417" s="39" t="s">
        <v>822</v>
      </c>
      <c r="D417" s="39" t="s">
        <v>653</v>
      </c>
      <c r="E417" s="39" t="s">
        <v>483</v>
      </c>
      <c r="F417" s="39" t="s">
        <v>348</v>
      </c>
      <c r="G417" s="39" t="s">
        <v>383</v>
      </c>
      <c r="H417" s="39" t="s">
        <v>344</v>
      </c>
    </row>
    <row r="418" customFormat="false" ht="12.75" hidden="false" customHeight="true" outlineLevel="0" collapsed="false">
      <c r="A418" s="38" t="s">
        <v>329</v>
      </c>
      <c r="B418" s="38" t="s">
        <v>464</v>
      </c>
      <c r="C418" s="38" t="s">
        <v>462</v>
      </c>
      <c r="D418" s="38" t="s">
        <v>446</v>
      </c>
      <c r="E418" s="38" t="s">
        <v>447</v>
      </c>
      <c r="F418" s="38" t="s">
        <v>338</v>
      </c>
      <c r="G418" s="38" t="s">
        <v>337</v>
      </c>
      <c r="H418" s="38" t="s">
        <v>344</v>
      </c>
    </row>
    <row r="419" customFormat="false" ht="12.75" hidden="false" customHeight="true" outlineLevel="0" collapsed="false">
      <c r="A419" s="39" t="s">
        <v>329</v>
      </c>
      <c r="B419" s="39" t="s">
        <v>464</v>
      </c>
      <c r="C419" s="39" t="s">
        <v>510</v>
      </c>
      <c r="D419" s="39" t="s">
        <v>446</v>
      </c>
      <c r="E419" s="39" t="s">
        <v>483</v>
      </c>
      <c r="F419" s="39" t="s">
        <v>338</v>
      </c>
      <c r="G419" s="39" t="s">
        <v>337</v>
      </c>
      <c r="H419" s="39" t="s">
        <v>344</v>
      </c>
    </row>
    <row r="420" customFormat="false" ht="12.75" hidden="false" customHeight="true" outlineLevel="0" collapsed="false">
      <c r="A420" s="38" t="s">
        <v>329</v>
      </c>
      <c r="B420" s="38" t="s">
        <v>464</v>
      </c>
      <c r="C420" s="38" t="s">
        <v>518</v>
      </c>
      <c r="D420" s="38" t="s">
        <v>446</v>
      </c>
      <c r="E420" s="38" t="s">
        <v>447</v>
      </c>
      <c r="F420" s="38" t="s">
        <v>338</v>
      </c>
      <c r="G420" s="38" t="s">
        <v>337</v>
      </c>
      <c r="H420" s="38" t="s">
        <v>344</v>
      </c>
    </row>
    <row r="421" customFormat="false" ht="12.75" hidden="false" customHeight="true" outlineLevel="0" collapsed="false">
      <c r="A421" s="39" t="s">
        <v>329</v>
      </c>
      <c r="B421" s="39" t="s">
        <v>464</v>
      </c>
      <c r="C421" s="39" t="s">
        <v>535</v>
      </c>
      <c r="D421" s="39" t="s">
        <v>446</v>
      </c>
      <c r="E421" s="39" t="s">
        <v>483</v>
      </c>
      <c r="F421" s="39" t="s">
        <v>338</v>
      </c>
      <c r="G421" s="39" t="s">
        <v>337</v>
      </c>
      <c r="H421" s="39" t="s">
        <v>344</v>
      </c>
    </row>
    <row r="422" customFormat="false" ht="12.75" hidden="false" customHeight="true" outlineLevel="0" collapsed="false">
      <c r="A422" s="38" t="s">
        <v>329</v>
      </c>
      <c r="B422" s="38" t="s">
        <v>1006</v>
      </c>
      <c r="C422" s="38" t="s">
        <v>578</v>
      </c>
      <c r="D422" s="38" t="s">
        <v>579</v>
      </c>
      <c r="E422" s="38" t="s">
        <v>581</v>
      </c>
      <c r="F422" s="38" t="s">
        <v>338</v>
      </c>
      <c r="G422" s="38" t="s">
        <v>337</v>
      </c>
      <c r="H422" s="38" t="s">
        <v>344</v>
      </c>
    </row>
    <row r="423" customFormat="false" ht="12.75" hidden="false" customHeight="true" outlineLevel="0" collapsed="false">
      <c r="A423" s="39" t="s">
        <v>329</v>
      </c>
      <c r="B423" s="39" t="s">
        <v>1006</v>
      </c>
      <c r="C423" s="39" t="s">
        <v>958</v>
      </c>
      <c r="D423" s="39" t="s">
        <v>922</v>
      </c>
      <c r="E423" s="39" t="s">
        <v>581</v>
      </c>
      <c r="F423" s="39" t="s">
        <v>906</v>
      </c>
      <c r="G423" s="39" t="s">
        <v>925</v>
      </c>
      <c r="H423" s="39" t="s">
        <v>344</v>
      </c>
    </row>
    <row r="424" customFormat="false" ht="12.75" hidden="false" customHeight="true" outlineLevel="0" collapsed="false">
      <c r="A424" s="38" t="s">
        <v>329</v>
      </c>
      <c r="B424" s="38" t="s">
        <v>999</v>
      </c>
      <c r="C424" s="38" t="s">
        <v>590</v>
      </c>
      <c r="D424" s="38" t="s">
        <v>591</v>
      </c>
      <c r="E424" s="38" t="s">
        <v>592</v>
      </c>
      <c r="F424" s="38" t="s">
        <v>338</v>
      </c>
      <c r="G424" s="38" t="s">
        <v>337</v>
      </c>
      <c r="H424" s="38" t="s">
        <v>344</v>
      </c>
    </row>
    <row r="425" customFormat="false" ht="12.75" hidden="false" customHeight="true" outlineLevel="0" collapsed="false">
      <c r="A425" s="39" t="s">
        <v>329</v>
      </c>
      <c r="B425" s="39" t="s">
        <v>999</v>
      </c>
      <c r="C425" s="39" t="s">
        <v>598</v>
      </c>
      <c r="D425" s="39" t="s">
        <v>591</v>
      </c>
      <c r="E425" s="39" t="s">
        <v>592</v>
      </c>
      <c r="F425" s="39" t="s">
        <v>348</v>
      </c>
      <c r="G425" s="39" t="s">
        <v>337</v>
      </c>
      <c r="H425" s="39" t="s">
        <v>344</v>
      </c>
    </row>
    <row r="426" customFormat="false" ht="12.75" hidden="false" customHeight="true" outlineLevel="0" collapsed="false">
      <c r="A426" s="38" t="s">
        <v>329</v>
      </c>
      <c r="B426" s="38" t="s">
        <v>999</v>
      </c>
      <c r="C426" s="38" t="s">
        <v>667</v>
      </c>
      <c r="D426" s="38" t="s">
        <v>653</v>
      </c>
      <c r="E426" s="38" t="s">
        <v>648</v>
      </c>
      <c r="F426" s="38" t="s">
        <v>338</v>
      </c>
      <c r="G426" s="38" t="s">
        <v>383</v>
      </c>
      <c r="H426" s="38" t="s">
        <v>344</v>
      </c>
    </row>
    <row r="427" customFormat="false" ht="12.75" hidden="false" customHeight="true" outlineLevel="0" collapsed="false">
      <c r="A427" s="39" t="s">
        <v>329</v>
      </c>
      <c r="B427" s="39" t="s">
        <v>999</v>
      </c>
      <c r="C427" s="39" t="s">
        <v>718</v>
      </c>
      <c r="D427" s="39" t="s">
        <v>653</v>
      </c>
      <c r="E427" s="39" t="s">
        <v>648</v>
      </c>
      <c r="F427" s="39" t="s">
        <v>338</v>
      </c>
      <c r="G427" s="39" t="s">
        <v>383</v>
      </c>
      <c r="H427" s="39" t="s">
        <v>344</v>
      </c>
    </row>
    <row r="428" customFormat="false" ht="12.75" hidden="false" customHeight="true" outlineLevel="0" collapsed="false">
      <c r="A428" s="38" t="s">
        <v>329</v>
      </c>
      <c r="B428" s="38" t="s">
        <v>1004</v>
      </c>
      <c r="C428" s="38" t="s">
        <v>437</v>
      </c>
      <c r="D428" s="38" t="s">
        <v>335</v>
      </c>
      <c r="E428" s="38" t="s">
        <v>340</v>
      </c>
      <c r="F428" s="38" t="s">
        <v>338</v>
      </c>
      <c r="G428" s="38" t="s">
        <v>337</v>
      </c>
      <c r="H428" s="38" t="s">
        <v>344</v>
      </c>
    </row>
    <row r="429" customFormat="false" ht="12.75" hidden="false" customHeight="true" outlineLevel="0" collapsed="false">
      <c r="A429" s="39" t="s">
        <v>329</v>
      </c>
      <c r="B429" s="39" t="s">
        <v>1004</v>
      </c>
      <c r="C429" s="39" t="s">
        <v>609</v>
      </c>
      <c r="D429" s="39" t="s">
        <v>608</v>
      </c>
      <c r="E429" s="39" t="s">
        <v>610</v>
      </c>
      <c r="F429" s="39" t="s">
        <v>338</v>
      </c>
      <c r="G429" s="39" t="s">
        <v>337</v>
      </c>
      <c r="H429" s="39" t="s">
        <v>344</v>
      </c>
    </row>
    <row r="430" customFormat="false" ht="12.75" hidden="false" customHeight="true" outlineLevel="0" collapsed="false">
      <c r="A430" s="38" t="s">
        <v>329</v>
      </c>
      <c r="B430" s="38" t="s">
        <v>1004</v>
      </c>
      <c r="C430" s="38" t="s">
        <v>932</v>
      </c>
      <c r="D430" s="38" t="s">
        <v>922</v>
      </c>
      <c r="E430" s="38" t="s">
        <v>610</v>
      </c>
      <c r="F430" s="38" t="s">
        <v>906</v>
      </c>
      <c r="G430" s="38" t="s">
        <v>925</v>
      </c>
      <c r="H430" s="38" t="s">
        <v>344</v>
      </c>
    </row>
    <row r="431" customFormat="false" ht="12.75" hidden="false" customHeight="true" outlineLevel="0" collapsed="false">
      <c r="A431" s="39" t="s">
        <v>329</v>
      </c>
      <c r="B431" s="39" t="s">
        <v>1010</v>
      </c>
      <c r="C431" s="39" t="s">
        <v>603</v>
      </c>
      <c r="D431" s="39" t="s">
        <v>604</v>
      </c>
      <c r="E431" s="39" t="s">
        <v>488</v>
      </c>
      <c r="F431" s="39" t="s">
        <v>338</v>
      </c>
      <c r="G431" s="39" t="s">
        <v>337</v>
      </c>
      <c r="H431" s="39" t="s">
        <v>344</v>
      </c>
    </row>
    <row r="432" customFormat="false" ht="12.75" hidden="false" customHeight="true" outlineLevel="0" collapsed="false">
      <c r="A432" s="38" t="s">
        <v>329</v>
      </c>
      <c r="B432" s="38" t="s">
        <v>601</v>
      </c>
      <c r="C432" s="38" t="s">
        <v>590</v>
      </c>
      <c r="D432" s="38" t="s">
        <v>591</v>
      </c>
      <c r="E432" s="38" t="s">
        <v>592</v>
      </c>
      <c r="F432" s="38" t="s">
        <v>338</v>
      </c>
      <c r="G432" s="38" t="s">
        <v>337</v>
      </c>
      <c r="H432" s="38" t="s">
        <v>344</v>
      </c>
    </row>
    <row r="433" customFormat="false" ht="12.75" hidden="false" customHeight="true" outlineLevel="0" collapsed="false">
      <c r="A433" s="39" t="s">
        <v>329</v>
      </c>
      <c r="B433" s="39" t="s">
        <v>601</v>
      </c>
      <c r="C433" s="39" t="s">
        <v>598</v>
      </c>
      <c r="D433" s="39" t="s">
        <v>591</v>
      </c>
      <c r="E433" s="39" t="s">
        <v>592</v>
      </c>
      <c r="F433" s="39" t="s">
        <v>348</v>
      </c>
      <c r="G433" s="39" t="s">
        <v>337</v>
      </c>
      <c r="H433" s="39" t="s">
        <v>344</v>
      </c>
    </row>
    <row r="434" customFormat="false" ht="12.75" hidden="false" customHeight="true" outlineLevel="0" collapsed="false">
      <c r="A434" s="38" t="s">
        <v>329</v>
      </c>
      <c r="B434" s="38" t="s">
        <v>601</v>
      </c>
      <c r="C434" s="38" t="s">
        <v>667</v>
      </c>
      <c r="D434" s="38" t="s">
        <v>653</v>
      </c>
      <c r="E434" s="38" t="s">
        <v>648</v>
      </c>
      <c r="F434" s="38" t="s">
        <v>338</v>
      </c>
      <c r="G434" s="38" t="s">
        <v>383</v>
      </c>
      <c r="H434" s="38" t="s">
        <v>344</v>
      </c>
    </row>
    <row r="435" customFormat="false" ht="12.75" hidden="false" customHeight="true" outlineLevel="0" collapsed="false">
      <c r="A435" s="39" t="s">
        <v>329</v>
      </c>
      <c r="B435" s="39" t="s">
        <v>601</v>
      </c>
      <c r="C435" s="39" t="s">
        <v>718</v>
      </c>
      <c r="D435" s="39" t="s">
        <v>653</v>
      </c>
      <c r="E435" s="39" t="s">
        <v>648</v>
      </c>
      <c r="F435" s="39" t="s">
        <v>338</v>
      </c>
      <c r="G435" s="39" t="s">
        <v>383</v>
      </c>
      <c r="H435" s="39" t="s">
        <v>344</v>
      </c>
    </row>
    <row r="436" customFormat="false" ht="12.75" hidden="false" customHeight="true" outlineLevel="0" collapsed="false">
      <c r="A436" s="38" t="s">
        <v>329</v>
      </c>
      <c r="B436" s="38" t="s">
        <v>601</v>
      </c>
      <c r="C436" s="38" t="s">
        <v>600</v>
      </c>
      <c r="D436" s="38" t="s">
        <v>591</v>
      </c>
      <c r="E436" s="38" t="s">
        <v>592</v>
      </c>
      <c r="F436" s="38" t="s">
        <v>338</v>
      </c>
      <c r="G436" s="38" t="s">
        <v>337</v>
      </c>
      <c r="H436" s="38" t="s">
        <v>344</v>
      </c>
    </row>
    <row r="437" customFormat="false" ht="12.75" hidden="false" customHeight="true" outlineLevel="0" collapsed="false">
      <c r="A437" s="39" t="s">
        <v>329</v>
      </c>
      <c r="B437" s="39" t="s">
        <v>601</v>
      </c>
      <c r="C437" s="39" t="s">
        <v>535</v>
      </c>
      <c r="D437" s="39" t="s">
        <v>446</v>
      </c>
      <c r="E437" s="39" t="s">
        <v>483</v>
      </c>
      <c r="F437" s="39" t="s">
        <v>338</v>
      </c>
      <c r="G437" s="39" t="s">
        <v>337</v>
      </c>
      <c r="H437" s="39" t="s">
        <v>344</v>
      </c>
    </row>
    <row r="438" customFormat="false" ht="12.75" hidden="false" customHeight="true" outlineLevel="0" collapsed="false">
      <c r="A438" s="38" t="s">
        <v>329</v>
      </c>
      <c r="B438" s="38" t="s">
        <v>676</v>
      </c>
      <c r="C438" s="38" t="s">
        <v>354</v>
      </c>
      <c r="D438" s="38" t="s">
        <v>335</v>
      </c>
      <c r="E438" s="38" t="s">
        <v>355</v>
      </c>
      <c r="F438" s="38" t="s">
        <v>338</v>
      </c>
      <c r="G438" s="38" t="s">
        <v>337</v>
      </c>
      <c r="H438" s="38" t="s">
        <v>344</v>
      </c>
    </row>
    <row r="439" customFormat="false" ht="12.75" hidden="false" customHeight="true" outlineLevel="0" collapsed="false">
      <c r="A439" s="39" t="s">
        <v>329</v>
      </c>
      <c r="B439" s="39" t="s">
        <v>676</v>
      </c>
      <c r="C439" s="39" t="s">
        <v>675</v>
      </c>
      <c r="D439" s="39" t="s">
        <v>653</v>
      </c>
      <c r="E439" s="39" t="s">
        <v>355</v>
      </c>
      <c r="F439" s="39" t="s">
        <v>338</v>
      </c>
      <c r="G439" s="39" t="s">
        <v>383</v>
      </c>
      <c r="H439" s="39" t="s">
        <v>344</v>
      </c>
    </row>
    <row r="440" customFormat="false" ht="12.75" hidden="false" customHeight="true" outlineLevel="0" collapsed="false">
      <c r="A440" s="38" t="s">
        <v>329</v>
      </c>
      <c r="B440" s="38" t="s">
        <v>676</v>
      </c>
      <c r="C440" s="38" t="s">
        <v>60</v>
      </c>
      <c r="D440" s="38" t="s">
        <v>653</v>
      </c>
      <c r="E440" s="38" t="s">
        <v>648</v>
      </c>
      <c r="F440" s="38" t="s">
        <v>348</v>
      </c>
      <c r="G440" s="38" t="s">
        <v>383</v>
      </c>
      <c r="H440" s="38" t="s">
        <v>344</v>
      </c>
    </row>
    <row r="441" customFormat="false" ht="12.75" hidden="false" customHeight="true" outlineLevel="0" collapsed="false">
      <c r="A441" s="39" t="s">
        <v>329</v>
      </c>
      <c r="B441" s="39" t="s">
        <v>676</v>
      </c>
      <c r="C441" s="39" t="s">
        <v>68</v>
      </c>
      <c r="D441" s="39" t="s">
        <v>653</v>
      </c>
      <c r="E441" s="39" t="s">
        <v>648</v>
      </c>
      <c r="F441" s="39" t="s">
        <v>348</v>
      </c>
      <c r="G441" s="39" t="s">
        <v>383</v>
      </c>
      <c r="H441" s="39" t="s">
        <v>344</v>
      </c>
    </row>
    <row r="442" customFormat="false" ht="12.75" hidden="false" customHeight="true" outlineLevel="0" collapsed="false">
      <c r="A442" s="38" t="s">
        <v>329</v>
      </c>
      <c r="B442" s="38" t="s">
        <v>676</v>
      </c>
      <c r="C442" s="38" t="s">
        <v>481</v>
      </c>
      <c r="D442" s="38" t="s">
        <v>446</v>
      </c>
      <c r="E442" s="38" t="s">
        <v>483</v>
      </c>
      <c r="F442" s="38" t="s">
        <v>338</v>
      </c>
      <c r="G442" s="38" t="s">
        <v>337</v>
      </c>
      <c r="H442" s="38" t="s">
        <v>344</v>
      </c>
    </row>
    <row r="443" customFormat="false" ht="12.75" hidden="false" customHeight="true" outlineLevel="0" collapsed="false">
      <c r="A443" s="39" t="s">
        <v>329</v>
      </c>
      <c r="B443" s="39" t="s">
        <v>655</v>
      </c>
      <c r="C443" s="39" t="s">
        <v>851</v>
      </c>
      <c r="D443" s="39" t="s">
        <v>845</v>
      </c>
      <c r="E443" s="39" t="s">
        <v>846</v>
      </c>
      <c r="F443" s="39" t="s">
        <v>338</v>
      </c>
      <c r="G443" s="39" t="s">
        <v>359</v>
      </c>
      <c r="H443" s="39" t="s">
        <v>344</v>
      </c>
    </row>
    <row r="444" customFormat="false" ht="12.75" hidden="false" customHeight="true" outlineLevel="0" collapsed="false">
      <c r="A444" s="38" t="s">
        <v>329</v>
      </c>
      <c r="B444" s="38" t="s">
        <v>655</v>
      </c>
      <c r="C444" s="38" t="s">
        <v>654</v>
      </c>
      <c r="D444" s="38" t="s">
        <v>653</v>
      </c>
      <c r="E444" s="38" t="s">
        <v>488</v>
      </c>
      <c r="F444" s="38" t="s">
        <v>338</v>
      </c>
      <c r="G444" s="38" t="s">
        <v>383</v>
      </c>
      <c r="H444" s="38" t="s">
        <v>344</v>
      </c>
    </row>
    <row r="445" customFormat="false" ht="12.75" hidden="false" customHeight="true" outlineLevel="0" collapsed="false">
      <c r="A445" s="39" t="s">
        <v>329</v>
      </c>
      <c r="B445" s="39" t="s">
        <v>655</v>
      </c>
      <c r="C445" s="39" t="s">
        <v>670</v>
      </c>
      <c r="D445" s="39" t="s">
        <v>653</v>
      </c>
      <c r="E445" s="39" t="s">
        <v>488</v>
      </c>
      <c r="F445" s="39" t="s">
        <v>338</v>
      </c>
      <c r="G445" s="39" t="s">
        <v>383</v>
      </c>
      <c r="H445" s="39" t="s">
        <v>344</v>
      </c>
    </row>
    <row r="446" customFormat="false" ht="12.75" hidden="false" customHeight="true" outlineLevel="0" collapsed="false">
      <c r="A446" s="38" t="s">
        <v>329</v>
      </c>
      <c r="B446" s="38" t="s">
        <v>655</v>
      </c>
      <c r="C446" s="38" t="s">
        <v>709</v>
      </c>
      <c r="D446" s="38" t="s">
        <v>653</v>
      </c>
      <c r="E446" s="38" t="s">
        <v>392</v>
      </c>
      <c r="F446" s="38" t="s">
        <v>338</v>
      </c>
      <c r="G446" s="38" t="s">
        <v>383</v>
      </c>
      <c r="H446" s="38" t="s">
        <v>344</v>
      </c>
    </row>
    <row r="447" customFormat="false" ht="12.75" hidden="false" customHeight="true" outlineLevel="0" collapsed="false">
      <c r="A447" s="39" t="s">
        <v>329</v>
      </c>
      <c r="B447" s="39" t="s">
        <v>655</v>
      </c>
      <c r="C447" s="39" t="s">
        <v>725</v>
      </c>
      <c r="D447" s="39" t="s">
        <v>653</v>
      </c>
      <c r="E447" s="39" t="s">
        <v>488</v>
      </c>
      <c r="F447" s="39" t="s">
        <v>338</v>
      </c>
      <c r="G447" s="39" t="s">
        <v>383</v>
      </c>
      <c r="H447" s="39" t="s">
        <v>344</v>
      </c>
    </row>
    <row r="448" customFormat="false" ht="12.75" hidden="false" customHeight="true" outlineLevel="0" collapsed="false">
      <c r="A448" s="38" t="s">
        <v>329</v>
      </c>
      <c r="B448" s="38" t="s">
        <v>655</v>
      </c>
      <c r="C448" s="38" t="s">
        <v>744</v>
      </c>
      <c r="D448" s="38" t="s">
        <v>653</v>
      </c>
      <c r="E448" s="38" t="s">
        <v>392</v>
      </c>
      <c r="F448" s="38" t="s">
        <v>338</v>
      </c>
      <c r="G448" s="38" t="s">
        <v>383</v>
      </c>
      <c r="H448" s="38" t="s">
        <v>344</v>
      </c>
    </row>
    <row r="449" customFormat="false" ht="12.75" hidden="false" customHeight="true" outlineLevel="0" collapsed="false">
      <c r="A449" s="39" t="s">
        <v>329</v>
      </c>
      <c r="B449" s="39" t="s">
        <v>655</v>
      </c>
      <c r="C449" s="39" t="s">
        <v>942</v>
      </c>
      <c r="D449" s="39" t="s">
        <v>922</v>
      </c>
      <c r="E449" s="39" t="s">
        <v>945</v>
      </c>
      <c r="F449" s="39" t="s">
        <v>906</v>
      </c>
      <c r="G449" s="39" t="s">
        <v>925</v>
      </c>
      <c r="H449" s="39" t="s">
        <v>344</v>
      </c>
    </row>
    <row r="450" customFormat="false" ht="12.75" hidden="false" customHeight="true" outlineLevel="0" collapsed="false">
      <c r="A450" s="38" t="s">
        <v>329</v>
      </c>
      <c r="B450" s="38" t="s">
        <v>505</v>
      </c>
      <c r="C450" s="38" t="s">
        <v>358</v>
      </c>
      <c r="D450" s="38" t="s">
        <v>335</v>
      </c>
      <c r="E450" s="38" t="s">
        <v>355</v>
      </c>
      <c r="F450" s="38" t="s">
        <v>338</v>
      </c>
      <c r="G450" s="38" t="s">
        <v>359</v>
      </c>
      <c r="H450" s="38" t="s">
        <v>344</v>
      </c>
    </row>
    <row r="451" customFormat="false" ht="12.75" hidden="false" customHeight="true" outlineLevel="0" collapsed="false">
      <c r="A451" s="39" t="s">
        <v>329</v>
      </c>
      <c r="B451" s="39" t="s">
        <v>505</v>
      </c>
      <c r="C451" s="39" t="s">
        <v>603</v>
      </c>
      <c r="D451" s="39" t="s">
        <v>604</v>
      </c>
      <c r="E451" s="39" t="s">
        <v>488</v>
      </c>
      <c r="F451" s="39" t="s">
        <v>338</v>
      </c>
      <c r="G451" s="39" t="s">
        <v>337</v>
      </c>
      <c r="H451" s="39" t="s">
        <v>344</v>
      </c>
    </row>
    <row r="452" customFormat="false" ht="12.75" hidden="false" customHeight="true" outlineLevel="0" collapsed="false">
      <c r="A452" s="38" t="s">
        <v>329</v>
      </c>
      <c r="B452" s="38" t="s">
        <v>505</v>
      </c>
      <c r="C452" s="38" t="s">
        <v>657</v>
      </c>
      <c r="D452" s="38" t="s">
        <v>653</v>
      </c>
      <c r="E452" s="38" t="s">
        <v>392</v>
      </c>
      <c r="F452" s="38" t="s">
        <v>338</v>
      </c>
      <c r="G452" s="38" t="s">
        <v>383</v>
      </c>
      <c r="H452" s="38" t="s">
        <v>344</v>
      </c>
    </row>
    <row r="453" customFormat="false" ht="12.75" hidden="false" customHeight="true" outlineLevel="0" collapsed="false">
      <c r="A453" s="39" t="s">
        <v>329</v>
      </c>
      <c r="B453" s="39" t="s">
        <v>505</v>
      </c>
      <c r="C453" s="39" t="s">
        <v>696</v>
      </c>
      <c r="D453" s="39" t="s">
        <v>653</v>
      </c>
      <c r="E453" s="39" t="s">
        <v>488</v>
      </c>
      <c r="F453" s="39" t="s">
        <v>338</v>
      </c>
      <c r="G453" s="39" t="s">
        <v>383</v>
      </c>
      <c r="H453" s="39" t="s">
        <v>344</v>
      </c>
    </row>
    <row r="454" customFormat="false" ht="12.75" hidden="false" customHeight="true" outlineLevel="0" collapsed="false">
      <c r="A454" s="38" t="s">
        <v>329</v>
      </c>
      <c r="B454" s="38" t="s">
        <v>505</v>
      </c>
      <c r="C454" s="38" t="s">
        <v>707</v>
      </c>
      <c r="D454" s="38" t="s">
        <v>653</v>
      </c>
      <c r="E454" s="38" t="s">
        <v>392</v>
      </c>
      <c r="F454" s="38" t="s">
        <v>338</v>
      </c>
      <c r="G454" s="38" t="s">
        <v>383</v>
      </c>
      <c r="H454" s="38" t="s">
        <v>344</v>
      </c>
    </row>
    <row r="455" customFormat="false" ht="12.75" hidden="false" customHeight="true" outlineLevel="0" collapsed="false">
      <c r="A455" s="39" t="s">
        <v>329</v>
      </c>
      <c r="B455" s="39" t="s">
        <v>505</v>
      </c>
      <c r="C455" s="39" t="s">
        <v>709</v>
      </c>
      <c r="D455" s="39" t="s">
        <v>653</v>
      </c>
      <c r="E455" s="39" t="s">
        <v>392</v>
      </c>
      <c r="F455" s="39" t="s">
        <v>338</v>
      </c>
      <c r="G455" s="39" t="s">
        <v>383</v>
      </c>
      <c r="H455" s="39" t="s">
        <v>344</v>
      </c>
    </row>
    <row r="456" customFormat="false" ht="12.75" hidden="false" customHeight="true" outlineLevel="0" collapsed="false">
      <c r="A456" s="38" t="s">
        <v>329</v>
      </c>
      <c r="B456" s="38" t="s">
        <v>505</v>
      </c>
      <c r="C456" s="38" t="s">
        <v>740</v>
      </c>
      <c r="D456" s="38" t="s">
        <v>653</v>
      </c>
      <c r="E456" s="38" t="s">
        <v>392</v>
      </c>
      <c r="F456" s="38" t="s">
        <v>338</v>
      </c>
      <c r="G456" s="38" t="s">
        <v>383</v>
      </c>
      <c r="H456" s="38" t="s">
        <v>344</v>
      </c>
    </row>
    <row r="457" customFormat="false" ht="12.75" hidden="false" customHeight="true" outlineLevel="0" collapsed="false">
      <c r="A457" s="39" t="s">
        <v>329</v>
      </c>
      <c r="B457" s="39" t="s">
        <v>505</v>
      </c>
      <c r="C457" s="39" t="s">
        <v>768</v>
      </c>
      <c r="D457" s="39" t="s">
        <v>653</v>
      </c>
      <c r="E457" s="39" t="s">
        <v>392</v>
      </c>
      <c r="F457" s="39" t="s">
        <v>348</v>
      </c>
      <c r="G457" s="39" t="s">
        <v>383</v>
      </c>
      <c r="H457" s="39" t="s">
        <v>344</v>
      </c>
    </row>
    <row r="458" customFormat="false" ht="12.75" hidden="false" customHeight="true" outlineLevel="0" collapsed="false">
      <c r="A458" s="38" t="s">
        <v>329</v>
      </c>
      <c r="B458" s="38" t="s">
        <v>505</v>
      </c>
      <c r="C458" s="38" t="s">
        <v>772</v>
      </c>
      <c r="D458" s="38" t="s">
        <v>653</v>
      </c>
      <c r="E458" s="38" t="s">
        <v>648</v>
      </c>
      <c r="F458" s="38" t="s">
        <v>348</v>
      </c>
      <c r="G458" s="38" t="s">
        <v>383</v>
      </c>
      <c r="H458" s="38" t="s">
        <v>344</v>
      </c>
    </row>
    <row r="459" customFormat="false" ht="12.75" hidden="false" customHeight="true" outlineLevel="0" collapsed="false">
      <c r="A459" s="39" t="s">
        <v>329</v>
      </c>
      <c r="B459" s="39" t="s">
        <v>505</v>
      </c>
      <c r="C459" s="39" t="s">
        <v>795</v>
      </c>
      <c r="D459" s="39" t="s">
        <v>653</v>
      </c>
      <c r="E459" s="39" t="s">
        <v>488</v>
      </c>
      <c r="F459" s="39" t="s">
        <v>348</v>
      </c>
      <c r="G459" s="39" t="s">
        <v>383</v>
      </c>
      <c r="H459" s="39" t="s">
        <v>344</v>
      </c>
    </row>
    <row r="460" customFormat="false" ht="12.75" hidden="false" customHeight="true" outlineLevel="0" collapsed="false">
      <c r="A460" s="38" t="s">
        <v>329</v>
      </c>
      <c r="B460" s="38" t="s">
        <v>505</v>
      </c>
      <c r="C460" s="38" t="s">
        <v>810</v>
      </c>
      <c r="D460" s="38" t="s">
        <v>653</v>
      </c>
      <c r="E460" s="38" t="s">
        <v>488</v>
      </c>
      <c r="F460" s="38" t="s">
        <v>348</v>
      </c>
      <c r="G460" s="38" t="s">
        <v>383</v>
      </c>
      <c r="H460" s="38" t="s">
        <v>344</v>
      </c>
    </row>
    <row r="461" customFormat="false" ht="12.75" hidden="false" customHeight="true" outlineLevel="0" collapsed="false">
      <c r="A461" s="39" t="s">
        <v>329</v>
      </c>
      <c r="B461" s="39" t="s">
        <v>505</v>
      </c>
      <c r="C461" s="39" t="s">
        <v>817</v>
      </c>
      <c r="D461" s="39" t="s">
        <v>653</v>
      </c>
      <c r="E461" s="39" t="s">
        <v>392</v>
      </c>
      <c r="F461" s="39" t="s">
        <v>348</v>
      </c>
      <c r="G461" s="39" t="s">
        <v>383</v>
      </c>
      <c r="H461" s="39" t="s">
        <v>344</v>
      </c>
    </row>
    <row r="462" customFormat="false" ht="12.75" hidden="false" customHeight="true" outlineLevel="0" collapsed="false">
      <c r="A462" s="38" t="s">
        <v>329</v>
      </c>
      <c r="B462" s="38" t="s">
        <v>505</v>
      </c>
      <c r="C462" s="38" t="s">
        <v>487</v>
      </c>
      <c r="D462" s="38" t="s">
        <v>446</v>
      </c>
      <c r="E462" s="38" t="s">
        <v>488</v>
      </c>
      <c r="F462" s="38" t="s">
        <v>338</v>
      </c>
      <c r="G462" s="38" t="s">
        <v>337</v>
      </c>
      <c r="H462" s="38" t="s">
        <v>344</v>
      </c>
    </row>
    <row r="463" customFormat="false" ht="12.75" hidden="false" customHeight="true" outlineLevel="0" collapsed="false">
      <c r="A463" s="39" t="s">
        <v>329</v>
      </c>
      <c r="B463" s="39" t="s">
        <v>505</v>
      </c>
      <c r="C463" s="39" t="s">
        <v>492</v>
      </c>
      <c r="D463" s="39" t="s">
        <v>446</v>
      </c>
      <c r="E463" s="39" t="s">
        <v>488</v>
      </c>
      <c r="F463" s="39" t="s">
        <v>338</v>
      </c>
      <c r="G463" s="39" t="s">
        <v>337</v>
      </c>
      <c r="H463" s="39" t="s">
        <v>344</v>
      </c>
    </row>
    <row r="464" customFormat="false" ht="12.75" hidden="false" customHeight="true" outlineLevel="0" collapsed="false">
      <c r="A464" s="38" t="s">
        <v>329</v>
      </c>
      <c r="B464" s="38" t="s">
        <v>505</v>
      </c>
      <c r="C464" s="38" t="s">
        <v>503</v>
      </c>
      <c r="D464" s="38" t="s">
        <v>446</v>
      </c>
      <c r="E464" s="38" t="s">
        <v>488</v>
      </c>
      <c r="F464" s="38" t="s">
        <v>338</v>
      </c>
      <c r="G464" s="38" t="s">
        <v>337</v>
      </c>
      <c r="H464" s="38" t="s">
        <v>344</v>
      </c>
    </row>
    <row r="465" customFormat="false" ht="12.75" hidden="false" customHeight="true" outlineLevel="0" collapsed="false">
      <c r="A465" s="39" t="s">
        <v>329</v>
      </c>
      <c r="B465" s="39" t="s">
        <v>505</v>
      </c>
      <c r="C465" s="39" t="s">
        <v>513</v>
      </c>
      <c r="D465" s="39" t="s">
        <v>446</v>
      </c>
      <c r="E465" s="39" t="s">
        <v>488</v>
      </c>
      <c r="F465" s="39" t="s">
        <v>338</v>
      </c>
      <c r="G465" s="39" t="s">
        <v>337</v>
      </c>
      <c r="H465" s="39" t="s">
        <v>344</v>
      </c>
    </row>
    <row r="466" customFormat="false" ht="12.75" hidden="false" customHeight="true" outlineLevel="0" collapsed="false">
      <c r="A466" s="38" t="s">
        <v>329</v>
      </c>
      <c r="B466" s="38" t="s">
        <v>505</v>
      </c>
      <c r="C466" s="38" t="s">
        <v>522</v>
      </c>
      <c r="D466" s="38" t="s">
        <v>446</v>
      </c>
      <c r="E466" s="38" t="s">
        <v>474</v>
      </c>
      <c r="F466" s="38" t="s">
        <v>338</v>
      </c>
      <c r="G466" s="38" t="s">
        <v>337</v>
      </c>
      <c r="H466" s="38" t="s">
        <v>344</v>
      </c>
    </row>
    <row r="467" customFormat="false" ht="12.75" hidden="false" customHeight="true" outlineLevel="0" collapsed="false">
      <c r="A467" s="39" t="s">
        <v>329</v>
      </c>
      <c r="B467" s="39" t="s">
        <v>505</v>
      </c>
      <c r="C467" s="39" t="s">
        <v>526</v>
      </c>
      <c r="D467" s="39" t="s">
        <v>446</v>
      </c>
      <c r="E467" s="39" t="s">
        <v>474</v>
      </c>
      <c r="F467" s="39" t="s">
        <v>338</v>
      </c>
      <c r="G467" s="39" t="s">
        <v>337</v>
      </c>
      <c r="H467" s="39" t="s">
        <v>344</v>
      </c>
    </row>
    <row r="468" customFormat="false" ht="12.75" hidden="false" customHeight="true" outlineLevel="0" collapsed="false">
      <c r="A468" s="38" t="s">
        <v>329</v>
      </c>
      <c r="B468" s="38" t="s">
        <v>505</v>
      </c>
      <c r="C468" s="38" t="s">
        <v>950</v>
      </c>
      <c r="D468" s="38" t="s">
        <v>922</v>
      </c>
      <c r="E468" s="38" t="s">
        <v>488</v>
      </c>
      <c r="F468" s="38" t="s">
        <v>906</v>
      </c>
      <c r="G468" s="38" t="s">
        <v>925</v>
      </c>
      <c r="H468" s="38" t="s">
        <v>344</v>
      </c>
    </row>
    <row r="469" customFormat="false" ht="12.75" hidden="false" customHeight="true" outlineLevel="0" collapsed="false">
      <c r="A469" s="39" t="s">
        <v>329</v>
      </c>
      <c r="B469" s="39" t="s">
        <v>784</v>
      </c>
      <c r="C469" s="39" t="s">
        <v>851</v>
      </c>
      <c r="D469" s="39" t="s">
        <v>845</v>
      </c>
      <c r="E469" s="39" t="s">
        <v>846</v>
      </c>
      <c r="F469" s="39" t="s">
        <v>338</v>
      </c>
      <c r="G469" s="39" t="s">
        <v>359</v>
      </c>
      <c r="H469" s="39" t="s">
        <v>344</v>
      </c>
    </row>
    <row r="470" customFormat="false" ht="12.75" hidden="false" customHeight="true" outlineLevel="0" collapsed="false">
      <c r="A470" s="38" t="s">
        <v>329</v>
      </c>
      <c r="B470" s="38" t="s">
        <v>784</v>
      </c>
      <c r="C470" s="38" t="s">
        <v>783</v>
      </c>
      <c r="D470" s="38" t="s">
        <v>653</v>
      </c>
      <c r="E470" s="38" t="s">
        <v>340</v>
      </c>
      <c r="F470" s="38" t="s">
        <v>348</v>
      </c>
      <c r="G470" s="38" t="s">
        <v>383</v>
      </c>
      <c r="H470" s="38" t="s">
        <v>344</v>
      </c>
    </row>
    <row r="471" customFormat="false" ht="12.75" hidden="false" customHeight="true" outlineLevel="0" collapsed="false">
      <c r="A471" s="39" t="s">
        <v>329</v>
      </c>
      <c r="B471" s="39" t="s">
        <v>784</v>
      </c>
      <c r="C471" s="39" t="s">
        <v>417</v>
      </c>
      <c r="D471" s="39" t="s">
        <v>335</v>
      </c>
      <c r="E471" s="39" t="s">
        <v>340</v>
      </c>
      <c r="F471" s="39" t="s">
        <v>338</v>
      </c>
      <c r="G471" s="39" t="s">
        <v>337</v>
      </c>
      <c r="H471" s="39" t="s">
        <v>344</v>
      </c>
    </row>
    <row r="472" customFormat="false" ht="12.75" hidden="false" customHeight="true" outlineLevel="0" collapsed="false">
      <c r="A472" s="38" t="s">
        <v>329</v>
      </c>
      <c r="B472" s="38" t="s">
        <v>784</v>
      </c>
      <c r="C472" s="38" t="s">
        <v>481</v>
      </c>
      <c r="D472" s="38" t="s">
        <v>446</v>
      </c>
      <c r="E472" s="38" t="s">
        <v>483</v>
      </c>
      <c r="F472" s="38" t="s">
        <v>338</v>
      </c>
      <c r="G472" s="38" t="s">
        <v>337</v>
      </c>
      <c r="H472" s="38" t="s">
        <v>344</v>
      </c>
    </row>
    <row r="473" customFormat="false" ht="12.75" hidden="false" customHeight="true" outlineLevel="0" collapsed="false">
      <c r="A473" s="39" t="s">
        <v>329</v>
      </c>
      <c r="B473" s="39" t="s">
        <v>784</v>
      </c>
      <c r="C473" s="39" t="s">
        <v>874</v>
      </c>
      <c r="D473" s="39" t="s">
        <v>875</v>
      </c>
      <c r="E473" s="39" t="s">
        <v>340</v>
      </c>
      <c r="F473" s="39" t="s">
        <v>338</v>
      </c>
      <c r="G473" s="39" t="s">
        <v>876</v>
      </c>
      <c r="H473" s="39" t="s">
        <v>344</v>
      </c>
    </row>
    <row r="474" customFormat="false" ht="12.75" hidden="false" customHeight="true" outlineLevel="0" collapsed="false">
      <c r="A474" s="38" t="s">
        <v>329</v>
      </c>
      <c r="B474" s="38" t="s">
        <v>784</v>
      </c>
      <c r="C474" s="38" t="s">
        <v>878</v>
      </c>
      <c r="D474" s="38" t="s">
        <v>875</v>
      </c>
      <c r="E474" s="38" t="s">
        <v>340</v>
      </c>
      <c r="F474" s="38" t="s">
        <v>338</v>
      </c>
      <c r="G474" s="38" t="s">
        <v>876</v>
      </c>
      <c r="H474" s="38" t="s">
        <v>344</v>
      </c>
    </row>
    <row r="475" customFormat="false" ht="12.75" hidden="false" customHeight="true" outlineLevel="0" collapsed="false">
      <c r="A475" s="39" t="s">
        <v>329</v>
      </c>
      <c r="B475" s="39" t="s">
        <v>784</v>
      </c>
      <c r="C475" s="39" t="s">
        <v>881</v>
      </c>
      <c r="D475" s="39" t="s">
        <v>875</v>
      </c>
      <c r="E475" s="39" t="s">
        <v>340</v>
      </c>
      <c r="F475" s="39" t="s">
        <v>338</v>
      </c>
      <c r="G475" s="39" t="s">
        <v>876</v>
      </c>
      <c r="H475" s="39" t="s">
        <v>344</v>
      </c>
    </row>
    <row r="476" customFormat="false" ht="12.75" hidden="false" customHeight="true" outlineLevel="0" collapsed="false">
      <c r="A476" s="38" t="s">
        <v>329</v>
      </c>
      <c r="B476" s="38" t="s">
        <v>784</v>
      </c>
      <c r="C476" s="38" t="s">
        <v>883</v>
      </c>
      <c r="D476" s="38" t="s">
        <v>875</v>
      </c>
      <c r="E476" s="38" t="s">
        <v>340</v>
      </c>
      <c r="F476" s="38" t="s">
        <v>338</v>
      </c>
      <c r="G476" s="38" t="s">
        <v>876</v>
      </c>
      <c r="H476" s="38" t="s">
        <v>344</v>
      </c>
    </row>
    <row r="477" customFormat="false" ht="12.75" hidden="false" customHeight="true" outlineLevel="0" collapsed="false">
      <c r="A477" s="39" t="s">
        <v>329</v>
      </c>
      <c r="B477" s="39" t="s">
        <v>784</v>
      </c>
      <c r="C477" s="39" t="s">
        <v>885</v>
      </c>
      <c r="D477" s="39" t="s">
        <v>875</v>
      </c>
      <c r="E477" s="39" t="s">
        <v>340</v>
      </c>
      <c r="F477" s="39" t="s">
        <v>338</v>
      </c>
      <c r="G477" s="39" t="s">
        <v>876</v>
      </c>
      <c r="H477" s="39" t="s">
        <v>344</v>
      </c>
    </row>
    <row r="478" customFormat="false" ht="12.75" hidden="false" customHeight="true" outlineLevel="0" collapsed="false">
      <c r="A478" s="38" t="s">
        <v>329</v>
      </c>
      <c r="B478" s="38" t="s">
        <v>784</v>
      </c>
      <c r="C478" s="38" t="s">
        <v>887</v>
      </c>
      <c r="D478" s="38" t="s">
        <v>875</v>
      </c>
      <c r="E478" s="38" t="s">
        <v>340</v>
      </c>
      <c r="F478" s="38" t="s">
        <v>338</v>
      </c>
      <c r="G478" s="38" t="s">
        <v>876</v>
      </c>
      <c r="H478" s="38" t="s">
        <v>344</v>
      </c>
    </row>
    <row r="479" customFormat="false" ht="12.75" hidden="false" customHeight="true" outlineLevel="0" collapsed="false">
      <c r="A479" s="39" t="s">
        <v>329</v>
      </c>
      <c r="B479" s="39" t="s">
        <v>784</v>
      </c>
      <c r="C479" s="39" t="s">
        <v>889</v>
      </c>
      <c r="D479" s="39" t="s">
        <v>875</v>
      </c>
      <c r="E479" s="39" t="s">
        <v>340</v>
      </c>
      <c r="F479" s="39" t="s">
        <v>338</v>
      </c>
      <c r="G479" s="39" t="s">
        <v>876</v>
      </c>
      <c r="H479" s="39" t="s">
        <v>344</v>
      </c>
    </row>
    <row r="480" customFormat="false" ht="12.75" hidden="false" customHeight="true" outlineLevel="0" collapsed="false">
      <c r="A480" s="38" t="s">
        <v>329</v>
      </c>
      <c r="B480" s="38" t="s">
        <v>784</v>
      </c>
      <c r="C480" s="38" t="s">
        <v>891</v>
      </c>
      <c r="D480" s="38" t="s">
        <v>875</v>
      </c>
      <c r="E480" s="38" t="s">
        <v>340</v>
      </c>
      <c r="F480" s="38" t="s">
        <v>338</v>
      </c>
      <c r="G480" s="38" t="s">
        <v>876</v>
      </c>
      <c r="H480" s="38" t="s">
        <v>344</v>
      </c>
    </row>
    <row r="481" customFormat="false" ht="12.75" hidden="false" customHeight="true" outlineLevel="0" collapsed="false">
      <c r="A481" s="39" t="s">
        <v>329</v>
      </c>
      <c r="B481" s="39" t="s">
        <v>784</v>
      </c>
      <c r="C481" s="39" t="s">
        <v>893</v>
      </c>
      <c r="D481" s="39" t="s">
        <v>875</v>
      </c>
      <c r="E481" s="39" t="s">
        <v>340</v>
      </c>
      <c r="F481" s="39" t="s">
        <v>338</v>
      </c>
      <c r="G481" s="39" t="s">
        <v>876</v>
      </c>
      <c r="H481" s="39" t="s">
        <v>344</v>
      </c>
    </row>
    <row r="482" customFormat="false" ht="12.75" hidden="false" customHeight="true" outlineLevel="0" collapsed="false">
      <c r="A482" s="38" t="s">
        <v>329</v>
      </c>
      <c r="B482" s="38" t="s">
        <v>784</v>
      </c>
      <c r="C482" s="38" t="s">
        <v>895</v>
      </c>
      <c r="D482" s="38" t="s">
        <v>875</v>
      </c>
      <c r="E482" s="38" t="s">
        <v>340</v>
      </c>
      <c r="F482" s="38" t="s">
        <v>338</v>
      </c>
      <c r="G482" s="38" t="s">
        <v>876</v>
      </c>
      <c r="H482" s="38" t="s">
        <v>344</v>
      </c>
    </row>
    <row r="483" customFormat="false" ht="12.75" hidden="false" customHeight="true" outlineLevel="0" collapsed="false">
      <c r="A483" s="39" t="s">
        <v>329</v>
      </c>
      <c r="B483" s="39" t="s">
        <v>784</v>
      </c>
      <c r="C483" s="39" t="s">
        <v>897</v>
      </c>
      <c r="D483" s="39" t="s">
        <v>875</v>
      </c>
      <c r="E483" s="39" t="s">
        <v>340</v>
      </c>
      <c r="F483" s="39" t="s">
        <v>338</v>
      </c>
      <c r="G483" s="39" t="s">
        <v>876</v>
      </c>
      <c r="H483" s="39" t="s">
        <v>344</v>
      </c>
    </row>
    <row r="484" customFormat="false" ht="12.75" hidden="false" customHeight="true" outlineLevel="0" collapsed="false">
      <c r="A484" s="38" t="s">
        <v>329</v>
      </c>
      <c r="B484" s="38" t="s">
        <v>784</v>
      </c>
      <c r="C484" s="38" t="s">
        <v>899</v>
      </c>
      <c r="D484" s="38" t="s">
        <v>875</v>
      </c>
      <c r="E484" s="38" t="s">
        <v>340</v>
      </c>
      <c r="F484" s="38" t="s">
        <v>338</v>
      </c>
      <c r="G484" s="38" t="s">
        <v>876</v>
      </c>
      <c r="H484" s="38" t="s">
        <v>344</v>
      </c>
    </row>
    <row r="485" customFormat="false" ht="12.75" hidden="false" customHeight="true" outlineLevel="0" collapsed="false">
      <c r="A485" s="39" t="s">
        <v>329</v>
      </c>
      <c r="B485" s="39" t="s">
        <v>784</v>
      </c>
      <c r="C485" s="39" t="s">
        <v>901</v>
      </c>
      <c r="D485" s="39" t="s">
        <v>875</v>
      </c>
      <c r="E485" s="39" t="s">
        <v>340</v>
      </c>
      <c r="F485" s="39" t="s">
        <v>338</v>
      </c>
      <c r="G485" s="39" t="s">
        <v>876</v>
      </c>
      <c r="H485" s="39" t="s">
        <v>344</v>
      </c>
    </row>
    <row r="486" customFormat="false" ht="12.75" hidden="false" customHeight="true" outlineLevel="0" collapsed="false">
      <c r="A486" s="38" t="s">
        <v>329</v>
      </c>
      <c r="B486" s="38" t="s">
        <v>784</v>
      </c>
      <c r="C486" s="38" t="s">
        <v>903</v>
      </c>
      <c r="D486" s="38" t="s">
        <v>875</v>
      </c>
      <c r="E486" s="38" t="s">
        <v>340</v>
      </c>
      <c r="F486" s="38" t="s">
        <v>338</v>
      </c>
      <c r="G486" s="38" t="s">
        <v>876</v>
      </c>
      <c r="H486" s="38" t="s">
        <v>344</v>
      </c>
    </row>
    <row r="487" customFormat="false" ht="12.75" hidden="false" customHeight="true" outlineLevel="0" collapsed="false">
      <c r="A487" s="39" t="s">
        <v>329</v>
      </c>
      <c r="B487" s="39" t="s">
        <v>784</v>
      </c>
      <c r="C487" s="39" t="s">
        <v>905</v>
      </c>
      <c r="D487" s="39" t="s">
        <v>875</v>
      </c>
      <c r="E487" s="39" t="s">
        <v>340</v>
      </c>
      <c r="F487" s="39" t="s">
        <v>906</v>
      </c>
      <c r="G487" s="39" t="s">
        <v>876</v>
      </c>
      <c r="H487" s="39" t="s">
        <v>344</v>
      </c>
    </row>
    <row r="488" customFormat="false" ht="12.75" hidden="false" customHeight="true" outlineLevel="0" collapsed="false">
      <c r="A488" s="38" t="s">
        <v>329</v>
      </c>
      <c r="B488" s="38" t="s">
        <v>784</v>
      </c>
      <c r="C488" s="38" t="s">
        <v>909</v>
      </c>
      <c r="D488" s="38" t="s">
        <v>875</v>
      </c>
      <c r="E488" s="38" t="s">
        <v>340</v>
      </c>
      <c r="F488" s="38" t="s">
        <v>338</v>
      </c>
      <c r="G488" s="38" t="s">
        <v>876</v>
      </c>
      <c r="H488" s="38" t="s">
        <v>344</v>
      </c>
    </row>
    <row r="489" customFormat="false" ht="12.75" hidden="false" customHeight="true" outlineLevel="0" collapsed="false">
      <c r="A489" s="39" t="s">
        <v>329</v>
      </c>
      <c r="B489" s="39" t="s">
        <v>617</v>
      </c>
      <c r="C489" s="39" t="s">
        <v>362</v>
      </c>
      <c r="D489" s="39" t="s">
        <v>335</v>
      </c>
      <c r="E489" s="39" t="s">
        <v>366</v>
      </c>
      <c r="F489" s="39" t="s">
        <v>338</v>
      </c>
      <c r="G489" s="39" t="s">
        <v>364</v>
      </c>
      <c r="H489" s="39" t="s">
        <v>344</v>
      </c>
    </row>
    <row r="490" customFormat="false" ht="12.75" hidden="false" customHeight="true" outlineLevel="0" collapsed="false">
      <c r="A490" s="38" t="s">
        <v>329</v>
      </c>
      <c r="B490" s="38" t="s">
        <v>617</v>
      </c>
      <c r="C490" s="38" t="s">
        <v>373</v>
      </c>
      <c r="D490" s="38" t="s">
        <v>335</v>
      </c>
      <c r="E490" s="38" t="s">
        <v>355</v>
      </c>
      <c r="F490" s="38" t="s">
        <v>338</v>
      </c>
      <c r="G490" s="38" t="s">
        <v>337</v>
      </c>
      <c r="H490" s="38" t="s">
        <v>344</v>
      </c>
    </row>
    <row r="491" customFormat="false" ht="12.75" hidden="false" customHeight="true" outlineLevel="0" collapsed="false">
      <c r="A491" s="39" t="s">
        <v>329</v>
      </c>
      <c r="B491" s="39" t="s">
        <v>617</v>
      </c>
      <c r="C491" s="39" t="s">
        <v>376</v>
      </c>
      <c r="D491" s="39" t="s">
        <v>335</v>
      </c>
      <c r="E491" s="39" t="s">
        <v>378</v>
      </c>
      <c r="F491" s="39" t="s">
        <v>338</v>
      </c>
      <c r="G491" s="39" t="s">
        <v>337</v>
      </c>
      <c r="H491" s="39" t="s">
        <v>344</v>
      </c>
    </row>
    <row r="492" customFormat="false" ht="12.75" hidden="false" customHeight="true" outlineLevel="0" collapsed="false">
      <c r="A492" s="38" t="s">
        <v>329</v>
      </c>
      <c r="B492" s="38" t="s">
        <v>617</v>
      </c>
      <c r="C492" s="38" t="s">
        <v>730</v>
      </c>
      <c r="D492" s="38" t="s">
        <v>653</v>
      </c>
      <c r="E492" s="38" t="s">
        <v>378</v>
      </c>
      <c r="F492" s="38" t="s">
        <v>338</v>
      </c>
      <c r="G492" s="38" t="s">
        <v>383</v>
      </c>
      <c r="H492" s="38" t="s">
        <v>344</v>
      </c>
    </row>
    <row r="493" customFormat="false" ht="12.75" hidden="false" customHeight="true" outlineLevel="0" collapsed="false">
      <c r="A493" s="39" t="s">
        <v>329</v>
      </c>
      <c r="B493" s="39" t="s">
        <v>617</v>
      </c>
      <c r="C493" s="39" t="s">
        <v>752</v>
      </c>
      <c r="D493" s="39" t="s">
        <v>653</v>
      </c>
      <c r="E493" s="39" t="s">
        <v>378</v>
      </c>
      <c r="F493" s="39" t="s">
        <v>338</v>
      </c>
      <c r="G493" s="39" t="s">
        <v>383</v>
      </c>
      <c r="H493" s="39" t="s">
        <v>344</v>
      </c>
    </row>
    <row r="494" customFormat="false" ht="12.75" hidden="false" customHeight="true" outlineLevel="0" collapsed="false">
      <c r="A494" s="38" t="s">
        <v>329</v>
      </c>
      <c r="B494" s="38" t="s">
        <v>617</v>
      </c>
      <c r="C494" s="38" t="s">
        <v>615</v>
      </c>
      <c r="D494" s="38" t="s">
        <v>616</v>
      </c>
      <c r="E494" s="38" t="s">
        <v>378</v>
      </c>
      <c r="F494" s="38" t="s">
        <v>338</v>
      </c>
      <c r="G494" s="38" t="s">
        <v>337</v>
      </c>
      <c r="H494" s="38" t="s">
        <v>344</v>
      </c>
    </row>
    <row r="495" customFormat="false" ht="12.75" hidden="false" customHeight="true" outlineLevel="0" collapsed="false">
      <c r="A495" s="39" t="s">
        <v>329</v>
      </c>
      <c r="B495" s="39" t="s">
        <v>617</v>
      </c>
      <c r="C495" s="39" t="s">
        <v>619</v>
      </c>
      <c r="D495" s="39" t="s">
        <v>616</v>
      </c>
      <c r="E495" s="39" t="s">
        <v>378</v>
      </c>
      <c r="F495" s="39" t="s">
        <v>338</v>
      </c>
      <c r="G495" s="39" t="s">
        <v>337</v>
      </c>
      <c r="H495" s="39" t="s">
        <v>344</v>
      </c>
    </row>
    <row r="496" customFormat="false" ht="12.75" hidden="false" customHeight="true" outlineLevel="0" collapsed="false">
      <c r="A496" s="38" t="s">
        <v>329</v>
      </c>
      <c r="B496" s="38" t="s">
        <v>617</v>
      </c>
      <c r="C496" s="38" t="s">
        <v>622</v>
      </c>
      <c r="D496" s="38" t="s">
        <v>616</v>
      </c>
      <c r="E496" s="38" t="s">
        <v>378</v>
      </c>
      <c r="F496" s="38" t="s">
        <v>338</v>
      </c>
      <c r="G496" s="38" t="s">
        <v>337</v>
      </c>
      <c r="H496" s="38" t="s">
        <v>344</v>
      </c>
    </row>
    <row r="497" customFormat="false" ht="12.75" hidden="false" customHeight="true" outlineLevel="0" collapsed="false">
      <c r="A497" s="39" t="s">
        <v>329</v>
      </c>
      <c r="B497" s="39" t="s">
        <v>617</v>
      </c>
      <c r="C497" s="39" t="s">
        <v>911</v>
      </c>
      <c r="D497" s="39" t="s">
        <v>875</v>
      </c>
      <c r="E497" s="39" t="s">
        <v>355</v>
      </c>
      <c r="F497" s="39" t="s">
        <v>338</v>
      </c>
      <c r="G497" s="39" t="s">
        <v>876</v>
      </c>
      <c r="H497" s="39" t="s">
        <v>344</v>
      </c>
    </row>
    <row r="498" customFormat="false" ht="12.75" hidden="false" customHeight="true" outlineLevel="0" collapsed="false">
      <c r="A498" s="38" t="s">
        <v>329</v>
      </c>
      <c r="B498" s="38" t="s">
        <v>617</v>
      </c>
      <c r="C498" s="38" t="s">
        <v>913</v>
      </c>
      <c r="D498" s="38" t="s">
        <v>875</v>
      </c>
      <c r="E498" s="38" t="s">
        <v>355</v>
      </c>
      <c r="F498" s="38" t="s">
        <v>338</v>
      </c>
      <c r="G498" s="38" t="s">
        <v>876</v>
      </c>
      <c r="H498" s="38" t="s">
        <v>344</v>
      </c>
    </row>
    <row r="499" customFormat="false" ht="12.75" hidden="false" customHeight="true" outlineLevel="0" collapsed="false">
      <c r="A499" s="39" t="s">
        <v>329</v>
      </c>
      <c r="B499" s="39" t="s">
        <v>617</v>
      </c>
      <c r="C499" s="39" t="s">
        <v>915</v>
      </c>
      <c r="D499" s="39" t="s">
        <v>875</v>
      </c>
      <c r="E499" s="39" t="s">
        <v>355</v>
      </c>
      <c r="F499" s="39" t="s">
        <v>348</v>
      </c>
      <c r="G499" s="39" t="s">
        <v>876</v>
      </c>
      <c r="H499" s="39" t="s">
        <v>344</v>
      </c>
    </row>
    <row r="500" customFormat="false" ht="12.75" hidden="false" customHeight="true" outlineLevel="0" collapsed="false">
      <c r="A500" s="38" t="s">
        <v>329</v>
      </c>
      <c r="B500" s="38" t="s">
        <v>617</v>
      </c>
      <c r="C500" s="38" t="s">
        <v>917</v>
      </c>
      <c r="D500" s="38" t="s">
        <v>875</v>
      </c>
      <c r="E500" s="38" t="s">
        <v>355</v>
      </c>
      <c r="F500" s="38" t="s">
        <v>338</v>
      </c>
      <c r="G500" s="38" t="s">
        <v>876</v>
      </c>
      <c r="H500" s="38" t="s">
        <v>344</v>
      </c>
    </row>
    <row r="501" customFormat="false" ht="12.75" hidden="false" customHeight="true" outlineLevel="0" collapsed="false">
      <c r="A501" s="39" t="s">
        <v>329</v>
      </c>
      <c r="B501" s="39" t="s">
        <v>617</v>
      </c>
      <c r="C501" s="39" t="s">
        <v>919</v>
      </c>
      <c r="D501" s="39" t="s">
        <v>875</v>
      </c>
      <c r="E501" s="39" t="s">
        <v>355</v>
      </c>
      <c r="F501" s="39" t="s">
        <v>338</v>
      </c>
      <c r="G501" s="39" t="s">
        <v>876</v>
      </c>
      <c r="H501" s="39" t="s">
        <v>344</v>
      </c>
    </row>
    <row r="502" customFormat="false" ht="12.75" hidden="false" customHeight="true" outlineLevel="0" collapsed="false">
      <c r="A502" s="38" t="s">
        <v>329</v>
      </c>
      <c r="B502" s="38" t="s">
        <v>617</v>
      </c>
      <c r="C502" s="38" t="s">
        <v>936</v>
      </c>
      <c r="D502" s="38" t="s">
        <v>922</v>
      </c>
      <c r="E502" s="38" t="s">
        <v>378</v>
      </c>
      <c r="F502" s="38" t="s">
        <v>906</v>
      </c>
      <c r="G502" s="38" t="s">
        <v>925</v>
      </c>
      <c r="H502" s="38" t="s">
        <v>344</v>
      </c>
    </row>
    <row r="503" customFormat="false" ht="12.75" hidden="false" customHeight="true" outlineLevel="0" collapsed="false">
      <c r="A503" s="39" t="s">
        <v>329</v>
      </c>
      <c r="B503" s="39" t="s">
        <v>617</v>
      </c>
      <c r="C503" s="39" t="s">
        <v>939</v>
      </c>
      <c r="D503" s="39" t="s">
        <v>922</v>
      </c>
      <c r="E503" s="39" t="s">
        <v>355</v>
      </c>
      <c r="F503" s="39" t="s">
        <v>906</v>
      </c>
      <c r="G503" s="39" t="s">
        <v>925</v>
      </c>
      <c r="H503" s="39" t="s">
        <v>344</v>
      </c>
    </row>
    <row r="504" customFormat="false" ht="12.75" hidden="false" customHeight="true" outlineLevel="0" collapsed="false">
      <c r="A504" s="38" t="s">
        <v>329</v>
      </c>
      <c r="B504" s="38" t="s">
        <v>617</v>
      </c>
      <c r="C504" s="38" t="s">
        <v>947</v>
      </c>
      <c r="D504" s="38" t="s">
        <v>922</v>
      </c>
      <c r="E504" s="38" t="s">
        <v>355</v>
      </c>
      <c r="F504" s="38" t="s">
        <v>906</v>
      </c>
      <c r="G504" s="38" t="s">
        <v>925</v>
      </c>
      <c r="H504" s="38" t="s">
        <v>344</v>
      </c>
    </row>
    <row r="505" customFormat="false" ht="12.75" hidden="false" customHeight="true" outlineLevel="0" collapsed="false">
      <c r="A505" s="39" t="s">
        <v>329</v>
      </c>
      <c r="B505" s="39" t="s">
        <v>617</v>
      </c>
      <c r="C505" s="39" t="s">
        <v>955</v>
      </c>
      <c r="D505" s="39" t="s">
        <v>922</v>
      </c>
      <c r="E505" s="39" t="s">
        <v>355</v>
      </c>
      <c r="F505" s="39" t="s">
        <v>906</v>
      </c>
      <c r="G505" s="39" t="s">
        <v>925</v>
      </c>
      <c r="H505" s="39" t="s">
        <v>344</v>
      </c>
    </row>
    <row r="506" customFormat="false" ht="12.75" hidden="false" customHeight="true" outlineLevel="0" collapsed="false">
      <c r="A506" s="38" t="s">
        <v>329</v>
      </c>
      <c r="B506" s="38" t="s">
        <v>341</v>
      </c>
      <c r="C506" s="38" t="s">
        <v>334</v>
      </c>
      <c r="D506" s="38" t="s">
        <v>335</v>
      </c>
      <c r="E506" s="38" t="s">
        <v>340</v>
      </c>
      <c r="F506" s="38" t="s">
        <v>338</v>
      </c>
      <c r="G506" s="38" t="s">
        <v>337</v>
      </c>
      <c r="H506" s="38" t="s">
        <v>344</v>
      </c>
    </row>
    <row r="507" customFormat="false" ht="12.75" hidden="false" customHeight="true" outlineLevel="0" collapsed="false">
      <c r="A507" s="39" t="s">
        <v>329</v>
      </c>
      <c r="B507" s="39" t="s">
        <v>341</v>
      </c>
      <c r="C507" s="39" t="s">
        <v>345</v>
      </c>
      <c r="D507" s="39" t="s">
        <v>335</v>
      </c>
      <c r="E507" s="39" t="s">
        <v>340</v>
      </c>
      <c r="F507" s="39" t="s">
        <v>338</v>
      </c>
      <c r="G507" s="39" t="s">
        <v>337</v>
      </c>
      <c r="H507" s="39" t="s">
        <v>344</v>
      </c>
    </row>
    <row r="508" customFormat="false" ht="12.75" hidden="false" customHeight="true" outlineLevel="0" collapsed="false">
      <c r="A508" s="38" t="s">
        <v>329</v>
      </c>
      <c r="B508" s="38" t="s">
        <v>341</v>
      </c>
      <c r="C508" s="38" t="s">
        <v>347</v>
      </c>
      <c r="D508" s="38" t="s">
        <v>335</v>
      </c>
      <c r="E508" s="38" t="s">
        <v>340</v>
      </c>
      <c r="F508" s="38" t="s">
        <v>348</v>
      </c>
      <c r="G508" s="38" t="s">
        <v>337</v>
      </c>
      <c r="H508" s="38" t="s">
        <v>344</v>
      </c>
    </row>
    <row r="509" customFormat="false" ht="12.75" hidden="false" customHeight="true" outlineLevel="0" collapsed="false">
      <c r="A509" s="39" t="s">
        <v>329</v>
      </c>
      <c r="B509" s="39" t="s">
        <v>341</v>
      </c>
      <c r="C509" s="39" t="s">
        <v>350</v>
      </c>
      <c r="D509" s="39" t="s">
        <v>335</v>
      </c>
      <c r="E509" s="39" t="s">
        <v>340</v>
      </c>
      <c r="F509" s="39" t="s">
        <v>348</v>
      </c>
      <c r="G509" s="39" t="s">
        <v>337</v>
      </c>
      <c r="H509" s="39" t="s">
        <v>344</v>
      </c>
    </row>
    <row r="510" customFormat="false" ht="12.75" hidden="false" customHeight="true" outlineLevel="0" collapsed="false">
      <c r="A510" s="38" t="s">
        <v>329</v>
      </c>
      <c r="B510" s="38" t="s">
        <v>341</v>
      </c>
      <c r="C510" s="38" t="s">
        <v>352</v>
      </c>
      <c r="D510" s="38" t="s">
        <v>335</v>
      </c>
      <c r="E510" s="38" t="s">
        <v>340</v>
      </c>
      <c r="F510" s="38" t="s">
        <v>338</v>
      </c>
      <c r="G510" s="38" t="s">
        <v>337</v>
      </c>
      <c r="H510" s="38" t="s">
        <v>344</v>
      </c>
    </row>
    <row r="511" customFormat="false" ht="12.75" hidden="false" customHeight="true" outlineLevel="0" collapsed="false">
      <c r="A511" s="39" t="s">
        <v>329</v>
      </c>
      <c r="B511" s="39" t="s">
        <v>341</v>
      </c>
      <c r="C511" s="39" t="s">
        <v>358</v>
      </c>
      <c r="D511" s="39" t="s">
        <v>335</v>
      </c>
      <c r="E511" s="39" t="s">
        <v>355</v>
      </c>
      <c r="F511" s="39" t="s">
        <v>338</v>
      </c>
      <c r="G511" s="39" t="s">
        <v>359</v>
      </c>
      <c r="H511" s="39" t="s">
        <v>344</v>
      </c>
    </row>
    <row r="512" customFormat="false" ht="12.75" hidden="false" customHeight="true" outlineLevel="0" collapsed="false">
      <c r="A512" s="38" t="s">
        <v>329</v>
      </c>
      <c r="B512" s="38" t="s">
        <v>341</v>
      </c>
      <c r="C512" s="38" t="s">
        <v>97</v>
      </c>
      <c r="D512" s="38" t="s">
        <v>860</v>
      </c>
      <c r="E512" s="38" t="s">
        <v>355</v>
      </c>
      <c r="F512" s="38" t="s">
        <v>338</v>
      </c>
      <c r="G512" s="38" t="s">
        <v>337</v>
      </c>
      <c r="H512" s="38" t="s">
        <v>344</v>
      </c>
    </row>
    <row r="513" customFormat="false" ht="12.75" hidden="false" customHeight="true" outlineLevel="0" collapsed="false">
      <c r="A513" s="39" t="s">
        <v>329</v>
      </c>
      <c r="B513" s="39" t="s">
        <v>341</v>
      </c>
      <c r="C513" s="39" t="s">
        <v>362</v>
      </c>
      <c r="D513" s="39" t="s">
        <v>335</v>
      </c>
      <c r="E513" s="39" t="s">
        <v>366</v>
      </c>
      <c r="F513" s="39" t="s">
        <v>338</v>
      </c>
      <c r="G513" s="39" t="s">
        <v>364</v>
      </c>
      <c r="H513" s="39" t="s">
        <v>344</v>
      </c>
    </row>
    <row r="514" customFormat="false" ht="12.75" hidden="false" customHeight="true" outlineLevel="0" collapsed="false">
      <c r="A514" s="38" t="s">
        <v>329</v>
      </c>
      <c r="B514" s="38" t="s">
        <v>341</v>
      </c>
      <c r="C514" s="38" t="s">
        <v>373</v>
      </c>
      <c r="D514" s="38" t="s">
        <v>335</v>
      </c>
      <c r="E514" s="38" t="s">
        <v>355</v>
      </c>
      <c r="F514" s="38" t="s">
        <v>338</v>
      </c>
      <c r="G514" s="38" t="s">
        <v>337</v>
      </c>
      <c r="H514" s="38" t="s">
        <v>344</v>
      </c>
    </row>
    <row r="515" customFormat="false" ht="12.75" hidden="false" customHeight="true" outlineLevel="0" collapsed="false">
      <c r="A515" s="39" t="s">
        <v>329</v>
      </c>
      <c r="B515" s="39" t="s">
        <v>341</v>
      </c>
      <c r="C515" s="39" t="s">
        <v>382</v>
      </c>
      <c r="D515" s="39" t="s">
        <v>335</v>
      </c>
      <c r="E515" s="39" t="s">
        <v>355</v>
      </c>
      <c r="F515" s="39" t="s">
        <v>338</v>
      </c>
      <c r="G515" s="39" t="s">
        <v>383</v>
      </c>
      <c r="H515" s="39" t="s">
        <v>344</v>
      </c>
    </row>
    <row r="516" customFormat="false" ht="12.75" hidden="false" customHeight="true" outlineLevel="0" collapsed="false">
      <c r="A516" s="38" t="s">
        <v>329</v>
      </c>
      <c r="B516" s="38" t="s">
        <v>341</v>
      </c>
      <c r="C516" s="38" t="s">
        <v>633</v>
      </c>
      <c r="D516" s="38" t="s">
        <v>626</v>
      </c>
      <c r="E516" s="38" t="s">
        <v>631</v>
      </c>
      <c r="F516" s="38" t="s">
        <v>338</v>
      </c>
      <c r="G516" s="38" t="s">
        <v>337</v>
      </c>
      <c r="H516" s="38" t="s">
        <v>344</v>
      </c>
    </row>
    <row r="517" customFormat="false" ht="12.75" hidden="false" customHeight="true" outlineLevel="0" collapsed="false">
      <c r="A517" s="39" t="s">
        <v>329</v>
      </c>
      <c r="B517" s="39" t="s">
        <v>341</v>
      </c>
      <c r="C517" s="39" t="s">
        <v>639</v>
      </c>
      <c r="D517" s="39" t="s">
        <v>626</v>
      </c>
      <c r="E517" s="39" t="s">
        <v>631</v>
      </c>
      <c r="F517" s="39" t="s">
        <v>348</v>
      </c>
      <c r="G517" s="39" t="s">
        <v>337</v>
      </c>
      <c r="H517" s="39" t="s">
        <v>344</v>
      </c>
    </row>
    <row r="518" customFormat="false" ht="12.75" hidden="false" customHeight="true" outlineLevel="0" collapsed="false">
      <c r="A518" s="38" t="s">
        <v>329</v>
      </c>
      <c r="B518" s="38" t="s">
        <v>341</v>
      </c>
      <c r="C518" s="38" t="s">
        <v>386</v>
      </c>
      <c r="D518" s="38" t="s">
        <v>335</v>
      </c>
      <c r="E518" s="38" t="s">
        <v>355</v>
      </c>
      <c r="F518" s="38" t="s">
        <v>338</v>
      </c>
      <c r="G518" s="38" t="s">
        <v>337</v>
      </c>
      <c r="H518" s="38" t="s">
        <v>344</v>
      </c>
    </row>
    <row r="519" customFormat="false" ht="12.75" hidden="false" customHeight="true" outlineLevel="0" collapsed="false">
      <c r="A519" s="39" t="s">
        <v>329</v>
      </c>
      <c r="B519" s="39" t="s">
        <v>341</v>
      </c>
      <c r="C519" s="39" t="s">
        <v>290</v>
      </c>
      <c r="D519" s="39" t="s">
        <v>653</v>
      </c>
      <c r="E519" s="39" t="s">
        <v>392</v>
      </c>
      <c r="F519" s="39" t="s">
        <v>338</v>
      </c>
      <c r="G519" s="39" t="s">
        <v>383</v>
      </c>
      <c r="H519" s="39" t="s">
        <v>344</v>
      </c>
    </row>
    <row r="520" customFormat="false" ht="12.75" hidden="false" customHeight="true" outlineLevel="0" collapsed="false">
      <c r="A520" s="38" t="s">
        <v>329</v>
      </c>
      <c r="B520" s="38" t="s">
        <v>341</v>
      </c>
      <c r="C520" s="38" t="s">
        <v>692</v>
      </c>
      <c r="D520" s="38" t="s">
        <v>653</v>
      </c>
      <c r="E520" s="38" t="s">
        <v>355</v>
      </c>
      <c r="F520" s="38" t="s">
        <v>338</v>
      </c>
      <c r="G520" s="38" t="s">
        <v>383</v>
      </c>
      <c r="H520" s="38" t="s">
        <v>344</v>
      </c>
    </row>
    <row r="521" customFormat="false" ht="12.75" hidden="false" customHeight="true" outlineLevel="0" collapsed="false">
      <c r="A521" s="39" t="s">
        <v>329</v>
      </c>
      <c r="B521" s="39" t="s">
        <v>341</v>
      </c>
      <c r="C521" s="39" t="s">
        <v>390</v>
      </c>
      <c r="D521" s="39" t="s">
        <v>335</v>
      </c>
      <c r="E521" s="39" t="s">
        <v>392</v>
      </c>
      <c r="F521" s="39" t="s">
        <v>338</v>
      </c>
      <c r="G521" s="39" t="s">
        <v>383</v>
      </c>
      <c r="H521" s="39" t="s">
        <v>344</v>
      </c>
    </row>
    <row r="522" customFormat="false" ht="12.75" hidden="false" customHeight="true" outlineLevel="0" collapsed="false">
      <c r="A522" s="38" t="s">
        <v>329</v>
      </c>
      <c r="B522" s="38" t="s">
        <v>341</v>
      </c>
      <c r="C522" s="38" t="s">
        <v>395</v>
      </c>
      <c r="D522" s="38" t="s">
        <v>335</v>
      </c>
      <c r="E522" s="38" t="s">
        <v>392</v>
      </c>
      <c r="F522" s="38" t="s">
        <v>338</v>
      </c>
      <c r="G522" s="38" t="s">
        <v>383</v>
      </c>
      <c r="H522" s="38" t="s">
        <v>344</v>
      </c>
    </row>
    <row r="523" customFormat="false" ht="12.75" hidden="false" customHeight="true" outlineLevel="0" collapsed="false">
      <c r="A523" s="39" t="s">
        <v>329</v>
      </c>
      <c r="B523" s="39" t="s">
        <v>341</v>
      </c>
      <c r="C523" s="39" t="s">
        <v>397</v>
      </c>
      <c r="D523" s="39" t="s">
        <v>335</v>
      </c>
      <c r="E523" s="39" t="s">
        <v>340</v>
      </c>
      <c r="F523" s="39" t="s">
        <v>338</v>
      </c>
      <c r="G523" s="39" t="s">
        <v>337</v>
      </c>
      <c r="H523" s="39" t="s">
        <v>344</v>
      </c>
    </row>
    <row r="524" customFormat="false" ht="12.75" hidden="false" customHeight="true" outlineLevel="0" collapsed="false">
      <c r="A524" s="38" t="s">
        <v>329</v>
      </c>
      <c r="B524" s="38" t="s">
        <v>341</v>
      </c>
      <c r="C524" s="38" t="s">
        <v>401</v>
      </c>
      <c r="D524" s="38" t="s">
        <v>335</v>
      </c>
      <c r="E524" s="38" t="s">
        <v>340</v>
      </c>
      <c r="F524" s="38" t="s">
        <v>338</v>
      </c>
      <c r="G524" s="38" t="s">
        <v>337</v>
      </c>
      <c r="H524" s="38" t="s">
        <v>344</v>
      </c>
    </row>
    <row r="525" customFormat="false" ht="12.75" hidden="false" customHeight="true" outlineLevel="0" collapsed="false">
      <c r="A525" s="39" t="s">
        <v>329</v>
      </c>
      <c r="B525" s="39" t="s">
        <v>341</v>
      </c>
      <c r="C525" s="39" t="s">
        <v>405</v>
      </c>
      <c r="D525" s="39" t="s">
        <v>335</v>
      </c>
      <c r="E525" s="39" t="s">
        <v>340</v>
      </c>
      <c r="F525" s="39" t="s">
        <v>338</v>
      </c>
      <c r="G525" s="39" t="s">
        <v>337</v>
      </c>
      <c r="H525" s="39" t="s">
        <v>344</v>
      </c>
    </row>
    <row r="526" customFormat="false" ht="12.75" hidden="false" customHeight="true" outlineLevel="0" collapsed="false">
      <c r="A526" s="38" t="s">
        <v>329</v>
      </c>
      <c r="B526" s="38" t="s">
        <v>341</v>
      </c>
      <c r="C526" s="38" t="s">
        <v>409</v>
      </c>
      <c r="D526" s="38" t="s">
        <v>335</v>
      </c>
      <c r="E526" s="38" t="s">
        <v>340</v>
      </c>
      <c r="F526" s="38" t="s">
        <v>338</v>
      </c>
      <c r="G526" s="38" t="s">
        <v>337</v>
      </c>
      <c r="H526" s="38" t="s">
        <v>344</v>
      </c>
    </row>
    <row r="527" customFormat="false" ht="12.75" hidden="false" customHeight="true" outlineLevel="0" collapsed="false">
      <c r="A527" s="39" t="s">
        <v>329</v>
      </c>
      <c r="B527" s="39" t="s">
        <v>341</v>
      </c>
      <c r="C527" s="39" t="s">
        <v>413</v>
      </c>
      <c r="D527" s="39" t="s">
        <v>335</v>
      </c>
      <c r="E527" s="39" t="s">
        <v>340</v>
      </c>
      <c r="F527" s="39" t="s">
        <v>338</v>
      </c>
      <c r="G527" s="39" t="s">
        <v>337</v>
      </c>
      <c r="H527" s="39" t="s">
        <v>344</v>
      </c>
    </row>
    <row r="528" customFormat="false" ht="12.75" hidden="false" customHeight="true" outlineLevel="0" collapsed="false">
      <c r="A528" s="38" t="s">
        <v>329</v>
      </c>
      <c r="B528" s="38" t="s">
        <v>341</v>
      </c>
      <c r="C528" s="38" t="s">
        <v>417</v>
      </c>
      <c r="D528" s="38" t="s">
        <v>335</v>
      </c>
      <c r="E528" s="38" t="s">
        <v>340</v>
      </c>
      <c r="F528" s="38" t="s">
        <v>338</v>
      </c>
      <c r="G528" s="38" t="s">
        <v>337</v>
      </c>
      <c r="H528" s="38" t="s">
        <v>344</v>
      </c>
    </row>
    <row r="529" customFormat="false" ht="12.75" hidden="false" customHeight="true" outlineLevel="0" collapsed="false">
      <c r="A529" s="39" t="s">
        <v>329</v>
      </c>
      <c r="B529" s="39" t="s">
        <v>341</v>
      </c>
      <c r="C529" s="39" t="s">
        <v>422</v>
      </c>
      <c r="D529" s="39" t="s">
        <v>335</v>
      </c>
      <c r="E529" s="39" t="s">
        <v>340</v>
      </c>
      <c r="F529" s="39" t="s">
        <v>338</v>
      </c>
      <c r="G529" s="39" t="s">
        <v>337</v>
      </c>
      <c r="H529" s="39" t="s">
        <v>344</v>
      </c>
    </row>
    <row r="530" customFormat="false" ht="12.75" hidden="false" customHeight="true" outlineLevel="0" collapsed="false">
      <c r="A530" s="38" t="s">
        <v>329</v>
      </c>
      <c r="B530" s="38" t="s">
        <v>341</v>
      </c>
      <c r="C530" s="38" t="s">
        <v>430</v>
      </c>
      <c r="D530" s="38" t="s">
        <v>335</v>
      </c>
      <c r="E530" s="38" t="s">
        <v>340</v>
      </c>
      <c r="F530" s="38" t="s">
        <v>338</v>
      </c>
      <c r="G530" s="38" t="s">
        <v>337</v>
      </c>
      <c r="H530" s="38" t="s">
        <v>344</v>
      </c>
    </row>
    <row r="531" customFormat="false" ht="12.75" hidden="false" customHeight="true" outlineLevel="0" collapsed="false">
      <c r="A531" s="39" t="s">
        <v>329</v>
      </c>
      <c r="B531" s="39" t="s">
        <v>341</v>
      </c>
      <c r="C531" s="39" t="s">
        <v>434</v>
      </c>
      <c r="D531" s="39" t="s">
        <v>335</v>
      </c>
      <c r="E531" s="39" t="s">
        <v>340</v>
      </c>
      <c r="F531" s="39" t="s">
        <v>338</v>
      </c>
      <c r="G531" s="39" t="s">
        <v>337</v>
      </c>
      <c r="H531" s="39" t="s">
        <v>344</v>
      </c>
    </row>
    <row r="532" customFormat="false" ht="12.75" hidden="false" customHeight="true" outlineLevel="0" collapsed="false">
      <c r="A532" s="38" t="s">
        <v>329</v>
      </c>
      <c r="B532" s="38" t="s">
        <v>341</v>
      </c>
      <c r="C532" s="38" t="s">
        <v>437</v>
      </c>
      <c r="D532" s="38" t="s">
        <v>335</v>
      </c>
      <c r="E532" s="38" t="s">
        <v>340</v>
      </c>
      <c r="F532" s="38" t="s">
        <v>338</v>
      </c>
      <c r="G532" s="38" t="s">
        <v>337</v>
      </c>
      <c r="H532" s="38" t="s">
        <v>344</v>
      </c>
    </row>
    <row r="533" customFormat="false" ht="12.75" hidden="false" customHeight="true" outlineLevel="0" collapsed="false">
      <c r="A533" s="39" t="s">
        <v>329</v>
      </c>
      <c r="B533" s="39" t="s">
        <v>341</v>
      </c>
      <c r="C533" s="39" t="s">
        <v>442</v>
      </c>
      <c r="D533" s="39" t="s">
        <v>335</v>
      </c>
      <c r="E533" s="39" t="s">
        <v>355</v>
      </c>
      <c r="F533" s="39" t="s">
        <v>348</v>
      </c>
      <c r="G533" s="39" t="s">
        <v>337</v>
      </c>
      <c r="H533" s="39" t="s">
        <v>344</v>
      </c>
    </row>
    <row r="534" customFormat="false" ht="12.75" hidden="false" customHeight="true" outlineLevel="0" collapsed="false">
      <c r="A534" s="38" t="s">
        <v>329</v>
      </c>
      <c r="B534" s="38" t="s">
        <v>341</v>
      </c>
      <c r="C534" s="38" t="s">
        <v>874</v>
      </c>
      <c r="D534" s="38" t="s">
        <v>875</v>
      </c>
      <c r="E534" s="38" t="s">
        <v>340</v>
      </c>
      <c r="F534" s="38" t="s">
        <v>338</v>
      </c>
      <c r="G534" s="38" t="s">
        <v>876</v>
      </c>
      <c r="H534" s="38" t="s">
        <v>344</v>
      </c>
    </row>
    <row r="535" customFormat="false" ht="12.75" hidden="false" customHeight="true" outlineLevel="0" collapsed="false">
      <c r="A535" s="39" t="s">
        <v>329</v>
      </c>
      <c r="B535" s="39" t="s">
        <v>341</v>
      </c>
      <c r="C535" s="39" t="s">
        <v>878</v>
      </c>
      <c r="D535" s="39" t="s">
        <v>875</v>
      </c>
      <c r="E535" s="39" t="s">
        <v>340</v>
      </c>
      <c r="F535" s="39" t="s">
        <v>338</v>
      </c>
      <c r="G535" s="39" t="s">
        <v>876</v>
      </c>
      <c r="H535" s="39" t="s">
        <v>344</v>
      </c>
    </row>
    <row r="536" customFormat="false" ht="12.75" hidden="false" customHeight="true" outlineLevel="0" collapsed="false">
      <c r="A536" s="38" t="s">
        <v>329</v>
      </c>
      <c r="B536" s="38" t="s">
        <v>341</v>
      </c>
      <c r="C536" s="38" t="s">
        <v>881</v>
      </c>
      <c r="D536" s="38" t="s">
        <v>875</v>
      </c>
      <c r="E536" s="38" t="s">
        <v>340</v>
      </c>
      <c r="F536" s="38" t="s">
        <v>338</v>
      </c>
      <c r="G536" s="38" t="s">
        <v>876</v>
      </c>
      <c r="H536" s="38" t="s">
        <v>344</v>
      </c>
    </row>
    <row r="537" customFormat="false" ht="12.75" hidden="false" customHeight="true" outlineLevel="0" collapsed="false">
      <c r="A537" s="39" t="s">
        <v>329</v>
      </c>
      <c r="B537" s="39" t="s">
        <v>341</v>
      </c>
      <c r="C537" s="39" t="s">
        <v>883</v>
      </c>
      <c r="D537" s="39" t="s">
        <v>875</v>
      </c>
      <c r="E537" s="39" t="s">
        <v>340</v>
      </c>
      <c r="F537" s="39" t="s">
        <v>338</v>
      </c>
      <c r="G537" s="39" t="s">
        <v>876</v>
      </c>
      <c r="H537" s="39" t="s">
        <v>344</v>
      </c>
    </row>
    <row r="538" customFormat="false" ht="12.75" hidden="false" customHeight="true" outlineLevel="0" collapsed="false">
      <c r="A538" s="38" t="s">
        <v>329</v>
      </c>
      <c r="B538" s="38" t="s">
        <v>341</v>
      </c>
      <c r="C538" s="38" t="s">
        <v>885</v>
      </c>
      <c r="D538" s="38" t="s">
        <v>875</v>
      </c>
      <c r="E538" s="38" t="s">
        <v>340</v>
      </c>
      <c r="F538" s="38" t="s">
        <v>338</v>
      </c>
      <c r="G538" s="38" t="s">
        <v>876</v>
      </c>
      <c r="H538" s="38" t="s">
        <v>344</v>
      </c>
    </row>
    <row r="539" customFormat="false" ht="12.75" hidden="false" customHeight="true" outlineLevel="0" collapsed="false">
      <c r="A539" s="39" t="s">
        <v>329</v>
      </c>
      <c r="B539" s="39" t="s">
        <v>341</v>
      </c>
      <c r="C539" s="39" t="s">
        <v>887</v>
      </c>
      <c r="D539" s="39" t="s">
        <v>875</v>
      </c>
      <c r="E539" s="39" t="s">
        <v>340</v>
      </c>
      <c r="F539" s="39" t="s">
        <v>338</v>
      </c>
      <c r="G539" s="39" t="s">
        <v>876</v>
      </c>
      <c r="H539" s="39" t="s">
        <v>344</v>
      </c>
    </row>
    <row r="540" customFormat="false" ht="12.75" hidden="false" customHeight="true" outlineLevel="0" collapsed="false">
      <c r="A540" s="38" t="s">
        <v>329</v>
      </c>
      <c r="B540" s="38" t="s">
        <v>341</v>
      </c>
      <c r="C540" s="38" t="s">
        <v>889</v>
      </c>
      <c r="D540" s="38" t="s">
        <v>875</v>
      </c>
      <c r="E540" s="38" t="s">
        <v>340</v>
      </c>
      <c r="F540" s="38" t="s">
        <v>338</v>
      </c>
      <c r="G540" s="38" t="s">
        <v>876</v>
      </c>
      <c r="H540" s="38" t="s">
        <v>344</v>
      </c>
    </row>
    <row r="541" customFormat="false" ht="12.75" hidden="false" customHeight="true" outlineLevel="0" collapsed="false">
      <c r="A541" s="39" t="s">
        <v>329</v>
      </c>
      <c r="B541" s="39" t="s">
        <v>341</v>
      </c>
      <c r="C541" s="39" t="s">
        <v>891</v>
      </c>
      <c r="D541" s="39" t="s">
        <v>875</v>
      </c>
      <c r="E541" s="39" t="s">
        <v>340</v>
      </c>
      <c r="F541" s="39" t="s">
        <v>338</v>
      </c>
      <c r="G541" s="39" t="s">
        <v>876</v>
      </c>
      <c r="H541" s="39" t="s">
        <v>344</v>
      </c>
    </row>
    <row r="542" customFormat="false" ht="12.75" hidden="false" customHeight="true" outlineLevel="0" collapsed="false">
      <c r="A542" s="38" t="s">
        <v>329</v>
      </c>
      <c r="B542" s="38" t="s">
        <v>341</v>
      </c>
      <c r="C542" s="38" t="s">
        <v>893</v>
      </c>
      <c r="D542" s="38" t="s">
        <v>875</v>
      </c>
      <c r="E542" s="38" t="s">
        <v>340</v>
      </c>
      <c r="F542" s="38" t="s">
        <v>338</v>
      </c>
      <c r="G542" s="38" t="s">
        <v>876</v>
      </c>
      <c r="H542" s="38" t="s">
        <v>344</v>
      </c>
    </row>
    <row r="543" customFormat="false" ht="12.75" hidden="false" customHeight="true" outlineLevel="0" collapsed="false">
      <c r="A543" s="39" t="s">
        <v>329</v>
      </c>
      <c r="B543" s="39" t="s">
        <v>341</v>
      </c>
      <c r="C543" s="39" t="s">
        <v>895</v>
      </c>
      <c r="D543" s="39" t="s">
        <v>875</v>
      </c>
      <c r="E543" s="39" t="s">
        <v>340</v>
      </c>
      <c r="F543" s="39" t="s">
        <v>338</v>
      </c>
      <c r="G543" s="39" t="s">
        <v>876</v>
      </c>
      <c r="H543" s="39" t="s">
        <v>344</v>
      </c>
    </row>
    <row r="544" customFormat="false" ht="12.75" hidden="false" customHeight="true" outlineLevel="0" collapsed="false">
      <c r="A544" s="38" t="s">
        <v>329</v>
      </c>
      <c r="B544" s="38" t="s">
        <v>341</v>
      </c>
      <c r="C544" s="38" t="s">
        <v>897</v>
      </c>
      <c r="D544" s="38" t="s">
        <v>875</v>
      </c>
      <c r="E544" s="38" t="s">
        <v>340</v>
      </c>
      <c r="F544" s="38" t="s">
        <v>338</v>
      </c>
      <c r="G544" s="38" t="s">
        <v>876</v>
      </c>
      <c r="H544" s="38" t="s">
        <v>344</v>
      </c>
    </row>
    <row r="545" customFormat="false" ht="12.75" hidden="false" customHeight="true" outlineLevel="0" collapsed="false">
      <c r="A545" s="39" t="s">
        <v>329</v>
      </c>
      <c r="B545" s="39" t="s">
        <v>341</v>
      </c>
      <c r="C545" s="39" t="s">
        <v>899</v>
      </c>
      <c r="D545" s="39" t="s">
        <v>875</v>
      </c>
      <c r="E545" s="39" t="s">
        <v>340</v>
      </c>
      <c r="F545" s="39" t="s">
        <v>338</v>
      </c>
      <c r="G545" s="39" t="s">
        <v>876</v>
      </c>
      <c r="H545" s="39" t="s">
        <v>344</v>
      </c>
    </row>
    <row r="546" customFormat="false" ht="12.75" hidden="false" customHeight="true" outlineLevel="0" collapsed="false">
      <c r="A546" s="38" t="s">
        <v>329</v>
      </c>
      <c r="B546" s="38" t="s">
        <v>341</v>
      </c>
      <c r="C546" s="38" t="s">
        <v>901</v>
      </c>
      <c r="D546" s="38" t="s">
        <v>875</v>
      </c>
      <c r="E546" s="38" t="s">
        <v>340</v>
      </c>
      <c r="F546" s="38" t="s">
        <v>338</v>
      </c>
      <c r="G546" s="38" t="s">
        <v>876</v>
      </c>
      <c r="H546" s="38" t="s">
        <v>344</v>
      </c>
    </row>
    <row r="547" customFormat="false" ht="12.75" hidden="false" customHeight="true" outlineLevel="0" collapsed="false">
      <c r="A547" s="39" t="s">
        <v>329</v>
      </c>
      <c r="B547" s="39" t="s">
        <v>341</v>
      </c>
      <c r="C547" s="39" t="s">
        <v>903</v>
      </c>
      <c r="D547" s="39" t="s">
        <v>875</v>
      </c>
      <c r="E547" s="39" t="s">
        <v>340</v>
      </c>
      <c r="F547" s="39" t="s">
        <v>338</v>
      </c>
      <c r="G547" s="39" t="s">
        <v>876</v>
      </c>
      <c r="H547" s="39" t="s">
        <v>344</v>
      </c>
    </row>
    <row r="548" customFormat="false" ht="12.75" hidden="false" customHeight="true" outlineLevel="0" collapsed="false">
      <c r="A548" s="38" t="s">
        <v>329</v>
      </c>
      <c r="B548" s="38" t="s">
        <v>341</v>
      </c>
      <c r="C548" s="38" t="s">
        <v>905</v>
      </c>
      <c r="D548" s="38" t="s">
        <v>875</v>
      </c>
      <c r="E548" s="38" t="s">
        <v>340</v>
      </c>
      <c r="F548" s="38" t="s">
        <v>906</v>
      </c>
      <c r="G548" s="38" t="s">
        <v>876</v>
      </c>
      <c r="H548" s="38" t="s">
        <v>344</v>
      </c>
    </row>
    <row r="549" customFormat="false" ht="12.75" hidden="false" customHeight="true" outlineLevel="0" collapsed="false">
      <c r="A549" s="39" t="s">
        <v>329</v>
      </c>
      <c r="B549" s="39" t="s">
        <v>341</v>
      </c>
      <c r="C549" s="39" t="s">
        <v>909</v>
      </c>
      <c r="D549" s="39" t="s">
        <v>875</v>
      </c>
      <c r="E549" s="39" t="s">
        <v>340</v>
      </c>
      <c r="F549" s="39" t="s">
        <v>338</v>
      </c>
      <c r="G549" s="39" t="s">
        <v>876</v>
      </c>
      <c r="H549" s="39" t="s">
        <v>344</v>
      </c>
    </row>
    <row r="550" customFormat="false" ht="12.75" hidden="false" customHeight="true" outlineLevel="0" collapsed="false">
      <c r="A550" s="38" t="s">
        <v>329</v>
      </c>
      <c r="B550" s="38" t="s">
        <v>341</v>
      </c>
      <c r="C550" s="38" t="s">
        <v>911</v>
      </c>
      <c r="D550" s="38" t="s">
        <v>875</v>
      </c>
      <c r="E550" s="38" t="s">
        <v>355</v>
      </c>
      <c r="F550" s="38" t="s">
        <v>338</v>
      </c>
      <c r="G550" s="38" t="s">
        <v>876</v>
      </c>
      <c r="H550" s="38" t="s">
        <v>344</v>
      </c>
    </row>
    <row r="551" customFormat="false" ht="12.75" hidden="false" customHeight="true" outlineLevel="0" collapsed="false">
      <c r="A551" s="39" t="s">
        <v>329</v>
      </c>
      <c r="B551" s="39" t="s">
        <v>341</v>
      </c>
      <c r="C551" s="39" t="s">
        <v>913</v>
      </c>
      <c r="D551" s="39" t="s">
        <v>875</v>
      </c>
      <c r="E551" s="39" t="s">
        <v>355</v>
      </c>
      <c r="F551" s="39" t="s">
        <v>338</v>
      </c>
      <c r="G551" s="39" t="s">
        <v>876</v>
      </c>
      <c r="H551" s="39" t="s">
        <v>344</v>
      </c>
    </row>
    <row r="552" customFormat="false" ht="12.75" hidden="false" customHeight="true" outlineLevel="0" collapsed="false">
      <c r="A552" s="38" t="s">
        <v>329</v>
      </c>
      <c r="B552" s="38" t="s">
        <v>341</v>
      </c>
      <c r="C552" s="38" t="s">
        <v>915</v>
      </c>
      <c r="D552" s="38" t="s">
        <v>875</v>
      </c>
      <c r="E552" s="38" t="s">
        <v>355</v>
      </c>
      <c r="F552" s="38" t="s">
        <v>348</v>
      </c>
      <c r="G552" s="38" t="s">
        <v>876</v>
      </c>
      <c r="H552" s="38" t="s">
        <v>344</v>
      </c>
    </row>
    <row r="553" customFormat="false" ht="12.75" hidden="false" customHeight="true" outlineLevel="0" collapsed="false">
      <c r="A553" s="39" t="s">
        <v>329</v>
      </c>
      <c r="B553" s="39" t="s">
        <v>341</v>
      </c>
      <c r="C553" s="39" t="s">
        <v>917</v>
      </c>
      <c r="D553" s="39" t="s">
        <v>875</v>
      </c>
      <c r="E553" s="39" t="s">
        <v>355</v>
      </c>
      <c r="F553" s="39" t="s">
        <v>338</v>
      </c>
      <c r="G553" s="39" t="s">
        <v>876</v>
      </c>
      <c r="H553" s="39" t="s">
        <v>344</v>
      </c>
    </row>
    <row r="554" customFormat="false" ht="12.75" hidden="false" customHeight="true" outlineLevel="0" collapsed="false">
      <c r="A554" s="38" t="s">
        <v>329</v>
      </c>
      <c r="B554" s="38" t="s">
        <v>341</v>
      </c>
      <c r="C554" s="38" t="s">
        <v>919</v>
      </c>
      <c r="D554" s="38" t="s">
        <v>875</v>
      </c>
      <c r="E554" s="38" t="s">
        <v>355</v>
      </c>
      <c r="F554" s="38" t="s">
        <v>338</v>
      </c>
      <c r="G554" s="38" t="s">
        <v>876</v>
      </c>
      <c r="H554" s="38" t="s">
        <v>344</v>
      </c>
    </row>
    <row r="555" customFormat="false" ht="12.75" hidden="false" customHeight="true" outlineLevel="0" collapsed="false">
      <c r="A555" s="39" t="s">
        <v>329</v>
      </c>
      <c r="B555" s="39" t="s">
        <v>341</v>
      </c>
      <c r="C555" s="39" t="s">
        <v>932</v>
      </c>
      <c r="D555" s="39" t="s">
        <v>922</v>
      </c>
      <c r="E555" s="39" t="s">
        <v>610</v>
      </c>
      <c r="F555" s="39" t="s">
        <v>906</v>
      </c>
      <c r="G555" s="39" t="s">
        <v>925</v>
      </c>
      <c r="H555" s="39" t="s">
        <v>344</v>
      </c>
    </row>
    <row r="556" customFormat="false" ht="12.75" hidden="false" customHeight="true" outlineLevel="0" collapsed="false">
      <c r="A556" s="38" t="s">
        <v>329</v>
      </c>
      <c r="B556" s="38" t="s">
        <v>341</v>
      </c>
      <c r="C556" s="38" t="s">
        <v>939</v>
      </c>
      <c r="D556" s="38" t="s">
        <v>922</v>
      </c>
      <c r="E556" s="38" t="s">
        <v>355</v>
      </c>
      <c r="F556" s="38" t="s">
        <v>906</v>
      </c>
      <c r="G556" s="38" t="s">
        <v>925</v>
      </c>
      <c r="H556" s="38" t="s">
        <v>344</v>
      </c>
    </row>
    <row r="557" customFormat="false" ht="12.75" hidden="false" customHeight="true" outlineLevel="0" collapsed="false">
      <c r="A557" s="39" t="s">
        <v>329</v>
      </c>
      <c r="B557" s="39" t="s">
        <v>341</v>
      </c>
      <c r="C557" s="39" t="s">
        <v>947</v>
      </c>
      <c r="D557" s="39" t="s">
        <v>922</v>
      </c>
      <c r="E557" s="39" t="s">
        <v>355</v>
      </c>
      <c r="F557" s="39" t="s">
        <v>906</v>
      </c>
      <c r="G557" s="39" t="s">
        <v>925</v>
      </c>
      <c r="H557" s="39" t="s">
        <v>344</v>
      </c>
    </row>
    <row r="558" customFormat="false" ht="12.75" hidden="false" customHeight="true" outlineLevel="0" collapsed="false">
      <c r="A558" s="38" t="s">
        <v>329</v>
      </c>
      <c r="B558" s="38" t="s">
        <v>341</v>
      </c>
      <c r="C558" s="38" t="s">
        <v>955</v>
      </c>
      <c r="D558" s="38" t="s">
        <v>922</v>
      </c>
      <c r="E558" s="38" t="s">
        <v>355</v>
      </c>
      <c r="F558" s="38" t="s">
        <v>906</v>
      </c>
      <c r="G558" s="38" t="s">
        <v>925</v>
      </c>
      <c r="H558" s="38" t="s">
        <v>344</v>
      </c>
    </row>
    <row r="559" customFormat="false" ht="12.75" hidden="false" customHeight="true" outlineLevel="0" collapsed="false">
      <c r="A559" s="39" t="s">
        <v>329</v>
      </c>
      <c r="B559" s="39" t="s">
        <v>673</v>
      </c>
      <c r="C559" s="39" t="s">
        <v>354</v>
      </c>
      <c r="D559" s="39" t="s">
        <v>335</v>
      </c>
      <c r="E559" s="39" t="s">
        <v>355</v>
      </c>
      <c r="F559" s="39" t="s">
        <v>338</v>
      </c>
      <c r="G559" s="39" t="s">
        <v>337</v>
      </c>
      <c r="H559" s="39" t="s">
        <v>344</v>
      </c>
    </row>
    <row r="560" customFormat="false" ht="12.75" hidden="false" customHeight="true" outlineLevel="0" collapsed="false">
      <c r="A560" s="38" t="s">
        <v>329</v>
      </c>
      <c r="B560" s="38" t="s">
        <v>673</v>
      </c>
      <c r="C560" s="38" t="s">
        <v>373</v>
      </c>
      <c r="D560" s="38" t="s">
        <v>335</v>
      </c>
      <c r="E560" s="38" t="s">
        <v>355</v>
      </c>
      <c r="F560" s="38" t="s">
        <v>338</v>
      </c>
      <c r="G560" s="38" t="s">
        <v>337</v>
      </c>
      <c r="H560" s="38" t="s">
        <v>344</v>
      </c>
    </row>
    <row r="561" customFormat="false" ht="12.75" hidden="false" customHeight="true" outlineLevel="0" collapsed="false">
      <c r="A561" s="39" t="s">
        <v>329</v>
      </c>
      <c r="B561" s="39" t="s">
        <v>673</v>
      </c>
      <c r="C561" s="39" t="s">
        <v>672</v>
      </c>
      <c r="D561" s="39" t="s">
        <v>653</v>
      </c>
      <c r="E561" s="39" t="s">
        <v>392</v>
      </c>
      <c r="F561" s="39" t="s">
        <v>338</v>
      </c>
      <c r="G561" s="39" t="s">
        <v>383</v>
      </c>
      <c r="H561" s="39" t="s">
        <v>344</v>
      </c>
    </row>
    <row r="562" customFormat="false" ht="12.75" hidden="false" customHeight="true" outlineLevel="0" collapsed="false">
      <c r="A562" s="38" t="s">
        <v>329</v>
      </c>
      <c r="B562" s="38" t="s">
        <v>673</v>
      </c>
      <c r="C562" s="38" t="s">
        <v>728</v>
      </c>
      <c r="D562" s="38" t="s">
        <v>653</v>
      </c>
      <c r="E562" s="38" t="s">
        <v>392</v>
      </c>
      <c r="F562" s="38" t="s">
        <v>338</v>
      </c>
      <c r="G562" s="38" t="s">
        <v>383</v>
      </c>
      <c r="H562" s="38" t="s">
        <v>344</v>
      </c>
    </row>
    <row r="563" customFormat="false" ht="12.75" hidden="false" customHeight="true" outlineLevel="0" collapsed="false">
      <c r="A563" s="39" t="s">
        <v>329</v>
      </c>
      <c r="B563" s="39" t="s">
        <v>673</v>
      </c>
      <c r="C563" s="39" t="s">
        <v>738</v>
      </c>
      <c r="D563" s="39" t="s">
        <v>653</v>
      </c>
      <c r="E563" s="39" t="s">
        <v>392</v>
      </c>
      <c r="F563" s="39" t="s">
        <v>338</v>
      </c>
      <c r="G563" s="39" t="s">
        <v>383</v>
      </c>
      <c r="H563" s="39" t="s">
        <v>344</v>
      </c>
    </row>
    <row r="564" customFormat="false" ht="12.75" hidden="false" customHeight="true" outlineLevel="0" collapsed="false">
      <c r="A564" s="38" t="s">
        <v>329</v>
      </c>
      <c r="B564" s="38" t="s">
        <v>673</v>
      </c>
      <c r="C564" s="38" t="s">
        <v>761</v>
      </c>
      <c r="D564" s="38" t="s">
        <v>653</v>
      </c>
      <c r="E564" s="38" t="s">
        <v>355</v>
      </c>
      <c r="F564" s="38" t="s">
        <v>348</v>
      </c>
      <c r="G564" s="38" t="s">
        <v>383</v>
      </c>
      <c r="H564" s="38" t="s">
        <v>344</v>
      </c>
    </row>
    <row r="565" customFormat="false" ht="12.75" hidden="false" customHeight="true" outlineLevel="0" collapsed="false">
      <c r="A565" s="39" t="s">
        <v>329</v>
      </c>
      <c r="B565" s="39" t="s">
        <v>673</v>
      </c>
      <c r="C565" s="39" t="s">
        <v>770</v>
      </c>
      <c r="D565" s="39" t="s">
        <v>653</v>
      </c>
      <c r="E565" s="39" t="s">
        <v>392</v>
      </c>
      <c r="F565" s="39" t="s">
        <v>348</v>
      </c>
      <c r="G565" s="39" t="s">
        <v>383</v>
      </c>
      <c r="H565" s="39" t="s">
        <v>344</v>
      </c>
    </row>
    <row r="566" customFormat="false" ht="12.75" hidden="false" customHeight="true" outlineLevel="0" collapsed="false">
      <c r="A566" s="38" t="s">
        <v>329</v>
      </c>
      <c r="B566" s="38" t="s">
        <v>673</v>
      </c>
      <c r="C566" s="38" t="s">
        <v>787</v>
      </c>
      <c r="D566" s="38" t="s">
        <v>653</v>
      </c>
      <c r="E566" s="38" t="s">
        <v>392</v>
      </c>
      <c r="F566" s="38" t="s">
        <v>348</v>
      </c>
      <c r="G566" s="38" t="s">
        <v>383</v>
      </c>
      <c r="H566" s="38" t="s">
        <v>344</v>
      </c>
    </row>
    <row r="567" customFormat="false" ht="12.75" hidden="false" customHeight="true" outlineLevel="0" collapsed="false">
      <c r="A567" s="39" t="s">
        <v>329</v>
      </c>
      <c r="B567" s="39" t="s">
        <v>673</v>
      </c>
      <c r="C567" s="39" t="s">
        <v>813</v>
      </c>
      <c r="D567" s="39" t="s">
        <v>653</v>
      </c>
      <c r="E567" s="39" t="s">
        <v>392</v>
      </c>
      <c r="F567" s="39" t="s">
        <v>348</v>
      </c>
      <c r="G567" s="39" t="s">
        <v>383</v>
      </c>
      <c r="H567" s="39" t="s">
        <v>344</v>
      </c>
    </row>
    <row r="568" customFormat="false" ht="12.75" hidden="false" customHeight="true" outlineLevel="0" collapsed="false">
      <c r="A568" s="38" t="s">
        <v>329</v>
      </c>
      <c r="B568" s="38" t="s">
        <v>673</v>
      </c>
      <c r="C568" s="38" t="s">
        <v>442</v>
      </c>
      <c r="D568" s="38" t="s">
        <v>335</v>
      </c>
      <c r="E568" s="38" t="s">
        <v>355</v>
      </c>
      <c r="F568" s="38" t="s">
        <v>348</v>
      </c>
      <c r="G568" s="38" t="s">
        <v>337</v>
      </c>
      <c r="H568" s="38" t="s">
        <v>344</v>
      </c>
    </row>
    <row r="569" customFormat="false" ht="12.75" hidden="false" customHeight="true" outlineLevel="0" collapsed="false">
      <c r="A569" s="39" t="s">
        <v>329</v>
      </c>
      <c r="B569" s="39" t="s">
        <v>673</v>
      </c>
      <c r="C569" s="39" t="s">
        <v>911</v>
      </c>
      <c r="D569" s="39" t="s">
        <v>875</v>
      </c>
      <c r="E569" s="39" t="s">
        <v>355</v>
      </c>
      <c r="F569" s="39" t="s">
        <v>338</v>
      </c>
      <c r="G569" s="39" t="s">
        <v>876</v>
      </c>
      <c r="H569" s="39" t="s">
        <v>344</v>
      </c>
    </row>
    <row r="570" customFormat="false" ht="12.75" hidden="false" customHeight="true" outlineLevel="0" collapsed="false">
      <c r="A570" s="38" t="s">
        <v>329</v>
      </c>
      <c r="B570" s="38" t="s">
        <v>673</v>
      </c>
      <c r="C570" s="38" t="s">
        <v>913</v>
      </c>
      <c r="D570" s="38" t="s">
        <v>875</v>
      </c>
      <c r="E570" s="38" t="s">
        <v>355</v>
      </c>
      <c r="F570" s="38" t="s">
        <v>338</v>
      </c>
      <c r="G570" s="38" t="s">
        <v>876</v>
      </c>
      <c r="H570" s="38" t="s">
        <v>344</v>
      </c>
    </row>
    <row r="571" customFormat="false" ht="12.75" hidden="false" customHeight="true" outlineLevel="0" collapsed="false">
      <c r="A571" s="39" t="s">
        <v>329</v>
      </c>
      <c r="B571" s="39" t="s">
        <v>673</v>
      </c>
      <c r="C571" s="39" t="s">
        <v>915</v>
      </c>
      <c r="D571" s="39" t="s">
        <v>875</v>
      </c>
      <c r="E571" s="39" t="s">
        <v>355</v>
      </c>
      <c r="F571" s="39" t="s">
        <v>348</v>
      </c>
      <c r="G571" s="39" t="s">
        <v>876</v>
      </c>
      <c r="H571" s="39" t="s">
        <v>344</v>
      </c>
    </row>
    <row r="572" customFormat="false" ht="12.75" hidden="false" customHeight="true" outlineLevel="0" collapsed="false">
      <c r="A572" s="38" t="s">
        <v>329</v>
      </c>
      <c r="B572" s="38" t="s">
        <v>673</v>
      </c>
      <c r="C572" s="38" t="s">
        <v>917</v>
      </c>
      <c r="D572" s="38" t="s">
        <v>875</v>
      </c>
      <c r="E572" s="38" t="s">
        <v>355</v>
      </c>
      <c r="F572" s="38" t="s">
        <v>338</v>
      </c>
      <c r="G572" s="38" t="s">
        <v>876</v>
      </c>
      <c r="H572" s="38" t="s">
        <v>344</v>
      </c>
    </row>
    <row r="573" customFormat="false" ht="12.75" hidden="false" customHeight="true" outlineLevel="0" collapsed="false">
      <c r="A573" s="39" t="s">
        <v>329</v>
      </c>
      <c r="B573" s="39" t="s">
        <v>673</v>
      </c>
      <c r="C573" s="39" t="s">
        <v>919</v>
      </c>
      <c r="D573" s="39" t="s">
        <v>875</v>
      </c>
      <c r="E573" s="39" t="s">
        <v>355</v>
      </c>
      <c r="F573" s="39" t="s">
        <v>338</v>
      </c>
      <c r="G573" s="39" t="s">
        <v>876</v>
      </c>
      <c r="H573" s="39" t="s">
        <v>344</v>
      </c>
    </row>
    <row r="574" customFormat="false" ht="12.75" hidden="false" customHeight="true" outlineLevel="0" collapsed="false">
      <c r="A574" s="38" t="s">
        <v>329</v>
      </c>
      <c r="B574" s="38" t="s">
        <v>673</v>
      </c>
      <c r="C574" s="38" t="s">
        <v>939</v>
      </c>
      <c r="D574" s="38" t="s">
        <v>922</v>
      </c>
      <c r="E574" s="38" t="s">
        <v>355</v>
      </c>
      <c r="F574" s="38" t="s">
        <v>906</v>
      </c>
      <c r="G574" s="38" t="s">
        <v>925</v>
      </c>
      <c r="H574" s="38" t="s">
        <v>344</v>
      </c>
    </row>
    <row r="575" customFormat="false" ht="12.75" hidden="false" customHeight="true" outlineLevel="0" collapsed="false">
      <c r="A575" s="39" t="s">
        <v>329</v>
      </c>
      <c r="B575" s="39" t="s">
        <v>673</v>
      </c>
      <c r="C575" s="39" t="s">
        <v>947</v>
      </c>
      <c r="D575" s="39" t="s">
        <v>922</v>
      </c>
      <c r="E575" s="39" t="s">
        <v>355</v>
      </c>
      <c r="F575" s="39" t="s">
        <v>906</v>
      </c>
      <c r="G575" s="39" t="s">
        <v>925</v>
      </c>
      <c r="H575" s="39" t="s">
        <v>344</v>
      </c>
    </row>
    <row r="576" customFormat="false" ht="12.75" hidden="false" customHeight="true" outlineLevel="0" collapsed="false">
      <c r="A576" s="38" t="s">
        <v>329</v>
      </c>
      <c r="B576" s="38" t="s">
        <v>673</v>
      </c>
      <c r="C576" s="38" t="s">
        <v>955</v>
      </c>
      <c r="D576" s="38" t="s">
        <v>922</v>
      </c>
      <c r="E576" s="38" t="s">
        <v>355</v>
      </c>
      <c r="F576" s="38" t="s">
        <v>906</v>
      </c>
      <c r="G576" s="38" t="s">
        <v>925</v>
      </c>
      <c r="H576" s="38" t="s">
        <v>344</v>
      </c>
    </row>
  </sheetData>
  <autoFilter ref="A1:H576"/>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&amp;LPolicy x Control&amp;R&amp;P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30"/>
    <col collapsed="false" customWidth="true" hidden="false" outlineLevel="0" max="3" min="3" style="0" width="22"/>
    <col collapsed="false" customWidth="true" hidden="false" outlineLevel="0" max="5" min="4" style="0" width="26"/>
    <col collapsed="false" customWidth="true" hidden="false" outlineLevel="0" max="6" min="6" style="0" width="24"/>
  </cols>
  <sheetData>
    <row r="1" customFormat="false" ht="17.35" hidden="false" customHeight="false" outlineLevel="0" collapsed="false">
      <c r="A1" s="50" t="s">
        <v>1013</v>
      </c>
    </row>
    <row r="2" customFormat="false" ht="30" hidden="false" customHeight="true" outlineLevel="0" collapsed="false">
      <c r="A2" s="16" t="s">
        <v>1014</v>
      </c>
      <c r="B2" s="16"/>
      <c r="C2" s="16"/>
      <c r="D2" s="16"/>
      <c r="E2" s="16"/>
      <c r="F2" s="16"/>
    </row>
    <row r="4" customFormat="false" ht="15" hidden="false" customHeight="false" outlineLevel="0" collapsed="false">
      <c r="A4" s="51" t="s">
        <v>1015</v>
      </c>
      <c r="B4" s="51"/>
      <c r="C4" s="51"/>
      <c r="D4" s="51"/>
      <c r="E4" s="51"/>
      <c r="F4" s="51"/>
    </row>
    <row r="6" customFormat="false" ht="30" hidden="false" customHeight="true" outlineLevel="0" collapsed="false">
      <c r="A6" s="7" t="s">
        <v>319</v>
      </c>
      <c r="B6" s="7" t="s">
        <v>320</v>
      </c>
      <c r="C6" s="7" t="s">
        <v>322</v>
      </c>
      <c r="D6" s="7" t="s">
        <v>1016</v>
      </c>
      <c r="E6" s="7" t="s">
        <v>1017</v>
      </c>
      <c r="F6" s="7" t="s">
        <v>1018</v>
      </c>
    </row>
    <row r="7" customFormat="false" ht="15" hidden="false" customHeight="false" outlineLevel="0" collapsed="false">
      <c r="A7" s="39" t="s">
        <v>370</v>
      </c>
      <c r="B7" s="39" t="s">
        <v>335</v>
      </c>
      <c r="C7" s="39" t="s">
        <v>371</v>
      </c>
      <c r="D7" s="52"/>
      <c r="E7" s="52"/>
      <c r="F7" s="52"/>
    </row>
    <row r="8" customFormat="false" ht="15" hidden="false" customHeight="false" outlineLevel="0" collapsed="false">
      <c r="A8" s="38" t="s">
        <v>385</v>
      </c>
      <c r="B8" s="38" t="s">
        <v>335</v>
      </c>
      <c r="C8" s="38" t="s">
        <v>336</v>
      </c>
      <c r="D8" s="52"/>
      <c r="E8" s="52"/>
      <c r="F8" s="52"/>
    </row>
    <row r="9" customFormat="false" ht="15" hidden="false" customHeight="false" outlineLevel="0" collapsed="false">
      <c r="A9" s="39" t="s">
        <v>426</v>
      </c>
      <c r="B9" s="39" t="s">
        <v>335</v>
      </c>
      <c r="C9" s="39" t="s">
        <v>336</v>
      </c>
      <c r="D9" s="52"/>
      <c r="E9" s="52"/>
      <c r="F9" s="52"/>
    </row>
    <row r="10" customFormat="false" ht="15" hidden="false" customHeight="false" outlineLevel="0" collapsed="false">
      <c r="A10" s="38" t="s">
        <v>428</v>
      </c>
      <c r="B10" s="38" t="s">
        <v>335</v>
      </c>
      <c r="C10" s="38" t="s">
        <v>336</v>
      </c>
      <c r="D10" s="52"/>
      <c r="E10" s="52"/>
      <c r="F10" s="52"/>
    </row>
    <row r="11" customFormat="false" ht="15" hidden="false" customHeight="false" outlineLevel="0" collapsed="false">
      <c r="A11" s="39" t="s">
        <v>471</v>
      </c>
      <c r="B11" s="39" t="s">
        <v>446</v>
      </c>
      <c r="C11" s="39" t="s">
        <v>336</v>
      </c>
      <c r="D11" s="52"/>
      <c r="E11" s="52"/>
      <c r="F11" s="52"/>
    </row>
    <row r="12" customFormat="false" ht="15" hidden="false" customHeight="false" outlineLevel="0" collapsed="false">
      <c r="A12" s="38" t="s">
        <v>472</v>
      </c>
      <c r="B12" s="38" t="s">
        <v>446</v>
      </c>
      <c r="C12" s="38" t="s">
        <v>336</v>
      </c>
      <c r="D12" s="52"/>
      <c r="E12" s="52"/>
      <c r="F12" s="52"/>
    </row>
    <row r="13" customFormat="false" ht="15" hidden="false" customHeight="false" outlineLevel="0" collapsed="false">
      <c r="A13" s="39" t="s">
        <v>115</v>
      </c>
      <c r="B13" s="39" t="s">
        <v>446</v>
      </c>
      <c r="C13" s="39" t="s">
        <v>336</v>
      </c>
      <c r="D13" s="52"/>
      <c r="E13" s="52"/>
      <c r="F13" s="52"/>
    </row>
    <row r="14" customFormat="false" ht="15" hidden="false" customHeight="false" outlineLevel="0" collapsed="false">
      <c r="A14" s="38" t="s">
        <v>501</v>
      </c>
      <c r="B14" s="38" t="s">
        <v>446</v>
      </c>
      <c r="C14" s="38" t="s">
        <v>336</v>
      </c>
      <c r="D14" s="52"/>
      <c r="E14" s="52"/>
      <c r="F14" s="52"/>
    </row>
    <row r="15" customFormat="false" ht="15" hidden="false" customHeight="false" outlineLevel="0" collapsed="false">
      <c r="A15" s="39" t="s">
        <v>508</v>
      </c>
      <c r="B15" s="39" t="s">
        <v>446</v>
      </c>
      <c r="C15" s="39" t="s">
        <v>336</v>
      </c>
      <c r="D15" s="52"/>
      <c r="E15" s="52"/>
      <c r="F15" s="52"/>
    </row>
    <row r="16" customFormat="false" ht="15" hidden="false" customHeight="false" outlineLevel="0" collapsed="false">
      <c r="A16" s="38" t="s">
        <v>556</v>
      </c>
      <c r="B16" s="38" t="s">
        <v>544</v>
      </c>
      <c r="C16" s="38" t="s">
        <v>336</v>
      </c>
      <c r="D16" s="52"/>
      <c r="E16" s="52"/>
      <c r="F16" s="52"/>
    </row>
    <row r="17" customFormat="false" ht="15" hidden="false" customHeight="false" outlineLevel="0" collapsed="false">
      <c r="A17" s="39" t="s">
        <v>589</v>
      </c>
      <c r="B17" s="39" t="s">
        <v>579</v>
      </c>
      <c r="C17" s="39" t="s">
        <v>336</v>
      </c>
      <c r="D17" s="52"/>
      <c r="E17" s="52"/>
      <c r="F17" s="52"/>
    </row>
    <row r="18" customFormat="false" ht="15" hidden="false" customHeight="false" outlineLevel="0" collapsed="false">
      <c r="A18" s="38" t="s">
        <v>596</v>
      </c>
      <c r="B18" s="38" t="s">
        <v>591</v>
      </c>
      <c r="C18" s="38" t="s">
        <v>597</v>
      </c>
      <c r="D18" s="52"/>
      <c r="E18" s="52"/>
      <c r="F18" s="52"/>
    </row>
    <row r="19" customFormat="false" ht="15" hidden="false" customHeight="false" outlineLevel="0" collapsed="false">
      <c r="A19" s="39" t="s">
        <v>607</v>
      </c>
      <c r="B19" s="39" t="s">
        <v>604</v>
      </c>
      <c r="C19" s="39" t="s">
        <v>336</v>
      </c>
      <c r="D19" s="52"/>
      <c r="E19" s="52"/>
      <c r="F19" s="52"/>
    </row>
    <row r="20" customFormat="false" ht="15" hidden="false" customHeight="false" outlineLevel="0" collapsed="false">
      <c r="A20" s="38" t="s">
        <v>125</v>
      </c>
      <c r="B20" s="38" t="s">
        <v>608</v>
      </c>
      <c r="C20" s="38" t="s">
        <v>336</v>
      </c>
      <c r="D20" s="52"/>
      <c r="E20" s="52"/>
      <c r="F20" s="52"/>
    </row>
    <row r="21" customFormat="false" ht="15" hidden="false" customHeight="false" outlineLevel="0" collapsed="false">
      <c r="A21" s="39" t="s">
        <v>614</v>
      </c>
      <c r="B21" s="39" t="s">
        <v>608</v>
      </c>
      <c r="C21" s="39" t="s">
        <v>336</v>
      </c>
      <c r="D21" s="52"/>
      <c r="E21" s="52"/>
      <c r="F21" s="52"/>
    </row>
    <row r="22" customFormat="false" ht="15" hidden="false" customHeight="false" outlineLevel="0" collapsed="false">
      <c r="A22" s="38" t="s">
        <v>621</v>
      </c>
      <c r="B22" s="38" t="s">
        <v>616</v>
      </c>
      <c r="C22" s="38" t="s">
        <v>336</v>
      </c>
      <c r="D22" s="52"/>
      <c r="E22" s="52"/>
      <c r="F22" s="52"/>
    </row>
    <row r="23" customFormat="false" ht="15" hidden="false" customHeight="false" outlineLevel="0" collapsed="false">
      <c r="A23" s="39" t="s">
        <v>624</v>
      </c>
      <c r="B23" s="39" t="s">
        <v>616</v>
      </c>
      <c r="C23" s="39" t="s">
        <v>336</v>
      </c>
      <c r="D23" s="52"/>
      <c r="E23" s="52"/>
      <c r="F23" s="52"/>
    </row>
    <row r="24" customFormat="false" ht="15" hidden="false" customHeight="false" outlineLevel="0" collapsed="false">
      <c r="A24" s="38" t="s">
        <v>645</v>
      </c>
      <c r="B24" s="38" t="s">
        <v>626</v>
      </c>
      <c r="C24" s="38" t="s">
        <v>336</v>
      </c>
      <c r="D24" s="52"/>
      <c r="E24" s="52"/>
      <c r="F24" s="52"/>
    </row>
    <row r="25" customFormat="false" ht="15" hidden="false" customHeight="false" outlineLevel="0" collapsed="false">
      <c r="A25" s="39" t="s">
        <v>652</v>
      </c>
      <c r="B25" s="39" t="s">
        <v>653</v>
      </c>
      <c r="C25" s="39" t="s">
        <v>336</v>
      </c>
      <c r="D25" s="52"/>
      <c r="E25" s="52"/>
      <c r="F25" s="52"/>
    </row>
    <row r="26" customFormat="false" ht="15" hidden="false" customHeight="false" outlineLevel="0" collapsed="false">
      <c r="A26" s="38" t="s">
        <v>669</v>
      </c>
      <c r="B26" s="38" t="s">
        <v>653</v>
      </c>
      <c r="C26" s="38" t="s">
        <v>336</v>
      </c>
      <c r="D26" s="52"/>
      <c r="E26" s="52"/>
      <c r="F26" s="52"/>
    </row>
    <row r="27" customFormat="false" ht="15" hidden="false" customHeight="false" outlineLevel="0" collapsed="false">
      <c r="A27" s="39" t="s">
        <v>727</v>
      </c>
      <c r="B27" s="39" t="s">
        <v>653</v>
      </c>
      <c r="C27" s="39" t="s">
        <v>336</v>
      </c>
      <c r="D27" s="52"/>
      <c r="E27" s="52"/>
      <c r="F27" s="52"/>
    </row>
    <row r="28" customFormat="false" ht="15" hidden="false" customHeight="false" outlineLevel="0" collapsed="false">
      <c r="A28" s="38" t="s">
        <v>840</v>
      </c>
      <c r="B28" s="38" t="s">
        <v>825</v>
      </c>
      <c r="C28" s="38" t="s">
        <v>336</v>
      </c>
      <c r="D28" s="52"/>
      <c r="E28" s="52"/>
      <c r="F28" s="52"/>
    </row>
    <row r="29" customFormat="false" ht="15" hidden="false" customHeight="false" outlineLevel="0" collapsed="false">
      <c r="A29" s="39" t="s">
        <v>873</v>
      </c>
      <c r="B29" s="39" t="s">
        <v>860</v>
      </c>
      <c r="C29" s="39" t="s">
        <v>371</v>
      </c>
      <c r="D29" s="52"/>
      <c r="E29" s="52"/>
      <c r="F29" s="52"/>
    </row>
    <row r="30" customFormat="false" ht="15" hidden="false" customHeight="false" outlineLevel="0" collapsed="false">
      <c r="A30" s="38" t="s">
        <v>880</v>
      </c>
      <c r="B30" s="38" t="s">
        <v>875</v>
      </c>
      <c r="C30" s="38" t="s">
        <v>336</v>
      </c>
      <c r="D30" s="52"/>
      <c r="E30" s="52"/>
      <c r="F30" s="52"/>
    </row>
    <row r="32" customFormat="false" ht="15" hidden="false" customHeight="false" outlineLevel="0" collapsed="false">
      <c r="A32" s="53" t="s">
        <v>1019</v>
      </c>
    </row>
    <row r="33" customFormat="false" ht="15" hidden="false" customHeight="false" outlineLevel="0" collapsed="false">
      <c r="A33" s="54" t="s">
        <v>115</v>
      </c>
      <c r="B33" s="54" t="s">
        <v>446</v>
      </c>
      <c r="C33" s="54" t="s">
        <v>336</v>
      </c>
      <c r="D33" s="55" t="s">
        <v>483</v>
      </c>
      <c r="E33" s="55" t="s">
        <v>484</v>
      </c>
      <c r="F33" s="55" t="s">
        <v>1020</v>
      </c>
    </row>
  </sheetData>
  <mergeCells count="2">
    <mergeCell ref="A2:F2"/>
    <mergeCell ref="A4:F4"/>
  </mergeCells>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&amp;LUnmapped Gap&amp;R&amp;P of &amp;N</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2"/>
  </cols>
  <sheetData>
    <row r="1" customFormat="false" ht="17.35" hidden="false" customHeight="false" outlineLevel="0" collapsed="false">
      <c r="A1" s="50" t="s">
        <v>1021</v>
      </c>
    </row>
    <row r="3" customFormat="false" ht="27.75" hidden="false" customHeight="true" outlineLevel="0" collapsed="false">
      <c r="A3" s="56" t="s">
        <v>1022</v>
      </c>
      <c r="B3" s="57" t="s">
        <v>1023</v>
      </c>
    </row>
    <row r="5" customFormat="false" ht="39" hidden="false" customHeight="true" outlineLevel="0" collapsed="false">
      <c r="A5" s="56" t="s">
        <v>1024</v>
      </c>
      <c r="B5" s="57" t="s">
        <v>1025</v>
      </c>
    </row>
    <row r="7" customFormat="false" ht="39" hidden="false" customHeight="true" outlineLevel="0" collapsed="false">
      <c r="A7" s="56" t="s">
        <v>1026</v>
      </c>
      <c r="B7" s="57" t="s">
        <v>1027</v>
      </c>
    </row>
    <row r="9" customFormat="false" ht="64.5" hidden="false" customHeight="true" outlineLevel="0" collapsed="false">
      <c r="A9" s="56" t="s">
        <v>1028</v>
      </c>
      <c r="B9" s="57" t="s">
        <v>1029</v>
      </c>
    </row>
    <row r="11" customFormat="false" ht="27.75" hidden="false" customHeight="true" outlineLevel="0" collapsed="false">
      <c r="A11" s="56" t="s">
        <v>1030</v>
      </c>
      <c r="B11" s="57" t="s">
        <v>1031</v>
      </c>
    </row>
    <row r="13" customFormat="false" ht="39" hidden="false" customHeight="true" outlineLevel="0" collapsed="false">
      <c r="A13" s="56" t="s">
        <v>1032</v>
      </c>
      <c r="B13" s="57" t="s">
        <v>1033</v>
      </c>
    </row>
    <row r="15" customFormat="false" ht="27.75" hidden="false" customHeight="true" outlineLevel="0" collapsed="false">
      <c r="A15" s="56" t="s">
        <v>1034</v>
      </c>
      <c r="B15" s="57" t="s">
        <v>1035</v>
      </c>
    </row>
    <row r="17" customFormat="false" ht="39" hidden="false" customHeight="true" outlineLevel="0" collapsed="false">
      <c r="A17" s="56" t="s">
        <v>1036</v>
      </c>
      <c r="B17" s="57" t="s">
        <v>1037</v>
      </c>
    </row>
    <row r="19" customFormat="false" ht="27.75" hidden="false" customHeight="true" outlineLevel="0" collapsed="false">
      <c r="A19" s="56" t="s">
        <v>1038</v>
      </c>
      <c r="B19" s="57" t="s">
        <v>1039</v>
      </c>
    </row>
  </sheetData>
  <printOptions headings="false" gridLines="false" gridLinesSet="true" horizontalCentered="false" verticalCentered="false"/>
  <pageMargins left="0.4" right="0.4"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&amp;LRead Me&amp;R&amp;P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2026-09-09T08:24:07Z</dcterms:created>
  <dc:creator>openpyxl</dc:creator>
  <dc:description/>
  <dc:language>en-US</dc:language>
  <cp:lastModifiedBy/>
  <dcterms:modified xsi:type="dcterms:W3CDTF">2026-09-09T08:24:08Z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